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esktop/Bot data/Prays list/"/>
    </mc:Choice>
  </mc:AlternateContent>
  <xr:revisionPtr revIDLastSave="0" documentId="13_ncr:1_{E50F4AD7-4626-8241-9818-59AB9A617CEA}" xr6:coauthVersionLast="47" xr6:coauthVersionMax="47" xr10:uidLastSave="{00000000-0000-0000-0000-000000000000}"/>
  <bookViews>
    <workbookView xWindow="0" yWindow="620" windowWidth="38400" windowHeight="18760" xr2:uid="{00000000-000D-0000-FFFF-FFFF00000000}"/>
  </bookViews>
  <sheets>
    <sheet name="Прайс-лист" sheetId="1" r:id="rId1"/>
  </sheets>
  <definedNames>
    <definedName name="_xlnm._FilterDatabase" localSheetId="0" hidden="1">'Прайс-лист'!$B$9:$K$25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H24" i="1" s="1"/>
  <c r="G25" i="1"/>
  <c r="H25" i="1" s="1"/>
  <c r="G21" i="1"/>
  <c r="G10" i="1"/>
  <c r="G18" i="1" l="1"/>
  <c r="H18" i="1" s="1"/>
  <c r="G23" i="1" l="1"/>
  <c r="H23" i="1" s="1"/>
  <c r="G14" i="1"/>
  <c r="H14" i="1" s="1"/>
  <c r="G16" i="1"/>
  <c r="H16" i="1" s="1"/>
  <c r="H10" i="1"/>
  <c r="G22" i="1"/>
  <c r="H22" i="1" s="1"/>
  <c r="H21" i="1"/>
  <c r="G20" i="1"/>
  <c r="H20" i="1" s="1"/>
  <c r="G19" i="1"/>
  <c r="H19" i="1" s="1"/>
  <c r="G17" i="1"/>
  <c r="H17" i="1" s="1"/>
  <c r="G15" i="1"/>
  <c r="H15" i="1" s="1"/>
  <c r="G13" i="1"/>
  <c r="H13" i="1" s="1"/>
  <c r="G12" i="1"/>
  <c r="H12" i="1" s="1"/>
  <c r="G11" i="1"/>
  <c r="H11" i="1" s="1"/>
</calcChain>
</file>

<file path=xl/sharedStrings.xml><?xml version="1.0" encoding="utf-8"?>
<sst xmlns="http://schemas.openxmlformats.org/spreadsheetml/2006/main" count="78" uniqueCount="55">
  <si>
    <t>МНН</t>
  </si>
  <si>
    <t>Базовая цена</t>
  </si>
  <si>
    <t>Производитель</t>
  </si>
  <si>
    <t xml:space="preserve">Наименование </t>
  </si>
  <si>
    <t>№</t>
  </si>
  <si>
    <t>СП ООО "Reka Med Farm"</t>
  </si>
  <si>
    <t>СП ООО «Samarkand England Eco-Medical»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</si>
  <si>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</si>
  <si>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</si>
  <si>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</si>
  <si>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</si>
  <si>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Ronald Pharmaceutical Pvt. Ltd</t>
  </si>
  <si>
    <t>Ангиотрен р-р. для инф  200мл №1</t>
  </si>
  <si>
    <t>Доунарин р-р. для инф  100мл №1</t>
  </si>
  <si>
    <t>Исофлокс 500мг блистеры №10</t>
  </si>
  <si>
    <t>Рангор р-р для инъек 100 мг 5мл №5</t>
  </si>
  <si>
    <t>Рогинолит р-р. для инф 200 мл №1</t>
  </si>
  <si>
    <t>Элоксилит р-р. для инф 250 мл №1</t>
  </si>
  <si>
    <t>Форкард раствор для инъекций  10% 5мл №10</t>
  </si>
  <si>
    <t>OOO BAYAN MEDICAL</t>
  </si>
  <si>
    <t>Орг</t>
  </si>
  <si>
    <t>Мексибел  р-р для инъек. 50мг/мл №10</t>
  </si>
  <si>
    <t>РУП "Белмедпрепараты"</t>
  </si>
  <si>
    <t>Семпер р-р. для инф 200 мл №1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</si>
  <si>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</si>
  <si>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</si>
  <si>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Миранол Раствор для внутривенного введения 50мл стеклянные флаконы</t>
  </si>
  <si>
    <t>Эпсол Раствор для инфузий 12 мг/мл 50мл стеклянные флаконы</t>
  </si>
  <si>
    <t>Levofloxacin hemihydrate</t>
  </si>
  <si>
    <t>Tranexamic acid</t>
  </si>
  <si>
    <t>Combination drug: (xylitol, sodium chloride, potassium chloride, calcium chloride, magnesium chloride, sodium acetate.)</t>
  </si>
  <si>
    <t>Arginine + levocarnitine + citicoline</t>
  </si>
  <si>
    <t>Thioctic acid</t>
  </si>
  <si>
    <t>Pentoxifilinе</t>
  </si>
  <si>
    <t>Мeldonium</t>
  </si>
  <si>
    <t>Sorbitol, sodium lactate, sodium chloride,
potassium chloride, calcium chloride, magnesium chloride</t>
  </si>
  <si>
    <t xml:space="preserve"> L-arginine + Levocarnitine</t>
  </si>
  <si>
    <t>Methylethylpiridinol succinate</t>
  </si>
  <si>
    <t>Акваципро-Д гл. капли №1</t>
  </si>
  <si>
    <t>Ciprofloxacin + Dexamethasone</t>
  </si>
  <si>
    <t>Ландиос Раствор для инфузий 100мл стеклянные флаконы</t>
  </si>
  <si>
    <t>ком.лек (лизин + эсцин)</t>
  </si>
  <si>
    <t>Прайс-лист на 01.11.2025</t>
  </si>
  <si>
    <t>Рогинолит р-р. для инф 100 мл №1</t>
  </si>
  <si>
    <t>Экситен р-р. для инф 100 мл Nº1</t>
  </si>
  <si>
    <t>Экситен р-р. для инф 200 мл Nº1</t>
  </si>
  <si>
    <t>Бронь</t>
  </si>
  <si>
    <t>Страна</t>
  </si>
  <si>
    <t>Индия</t>
  </si>
  <si>
    <t>Узбекистан</t>
  </si>
  <si>
    <t>Meglumine</t>
  </si>
  <si>
    <t xml:space="preserve">East African Overseases </t>
  </si>
  <si>
    <t xml:space="preserve">СП ООО "Reka Med Farm" </t>
  </si>
  <si>
    <t xml:space="preserve">ООО "Temur Med Farm" </t>
  </si>
  <si>
    <t>Беларусь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</si>
</sst>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35"/>
  <sheetViews>
    <sheetView tabSelected="1" topLeftCell="A14" zoomScale="91" zoomScaleNormal="70" zoomScalePageLayoutView="40" workbookViewId="0">
      <selection activeCell="B26" sqref="B26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9" customWidth="1"/>
    <col min="4" max="4" width="11.5" style="3" customWidth="1"/>
    <col min="5" max="5" width="81" style="11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3" customWidth="1"/>
    <col min="14" max="14" width="26" style="1" bestFit="1" customWidth="1"/>
    <col min="15" max="16384" width="8.83203125" style="1"/>
  </cols>
  <sheetData>
    <row r="3" spans="1:11">
      <c r="F3" s="2"/>
      <c r="G3" s="2"/>
      <c r="H3" s="2"/>
      <c r="I3" s="2"/>
    </row>
    <row r="4" spans="1:11" ht="36" customHeight="1">
      <c r="F4" s="2"/>
      <c r="G4" s="2"/>
      <c r="H4" s="2"/>
      <c r="I4" s="2"/>
    </row>
    <row r="5" spans="1:11">
      <c r="F5" s="2"/>
      <c r="G5" s="2"/>
      <c r="H5" s="2"/>
      <c r="I5" s="2"/>
    </row>
    <row r="6" spans="1:11" ht="49" customHeight="1">
      <c r="B6" s="16"/>
      <c r="C6" s="32" t="s">
        <v>7</v>
      </c>
      <c r="D6" s="32"/>
      <c r="E6" s="32"/>
      <c r="F6" s="32"/>
      <c r="G6" s="32"/>
      <c r="H6" s="32"/>
      <c r="I6" s="32"/>
      <c r="J6" s="32"/>
      <c r="K6" s="16"/>
    </row>
    <row r="7" spans="1:11" ht="49" customHeight="1">
      <c r="B7" s="17"/>
      <c r="C7" s="17"/>
      <c r="D7" s="30" t="s">
        <v>42</v>
      </c>
      <c r="E7" s="30"/>
      <c r="F7" s="30"/>
      <c r="G7" s="30"/>
      <c r="H7" s="30"/>
      <c r="I7" s="28"/>
      <c r="J7" s="17"/>
      <c r="K7" s="17"/>
    </row>
    <row r="8" spans="1:11" ht="24.75" customHeight="1">
      <c r="B8" s="8"/>
      <c r="C8" s="10"/>
      <c r="D8" s="5"/>
      <c r="E8" s="12"/>
      <c r="F8" s="6"/>
      <c r="G8" s="14">
        <v>15</v>
      </c>
      <c r="H8" s="14"/>
      <c r="I8" s="14"/>
      <c r="J8" s="29" t="s">
        <v>9</v>
      </c>
      <c r="K8" s="29"/>
    </row>
    <row r="9" spans="1:11" ht="83.25" customHeight="1">
      <c r="A9" s="18" t="s">
        <v>46</v>
      </c>
      <c r="B9" s="18" t="s">
        <v>4</v>
      </c>
      <c r="C9" s="18" t="s">
        <v>3</v>
      </c>
      <c r="D9" s="18" t="s">
        <v>20</v>
      </c>
      <c r="E9" s="18" t="s">
        <v>0</v>
      </c>
      <c r="F9" s="19" t="s">
        <v>1</v>
      </c>
      <c r="G9" s="19" t="s">
        <v>8</v>
      </c>
      <c r="H9" s="19" t="s">
        <v>10</v>
      </c>
      <c r="I9" s="20" t="s">
        <v>24</v>
      </c>
      <c r="J9" s="18" t="s">
        <v>2</v>
      </c>
      <c r="K9" s="20" t="s">
        <v>47</v>
      </c>
    </row>
    <row r="10" spans="1:11" ht="48" customHeight="1">
      <c r="B10" s="22">
        <v>1</v>
      </c>
      <c r="C10" s="23" t="s">
        <v>38</v>
      </c>
      <c r="D10" s="24">
        <v>500</v>
      </c>
      <c r="E10" s="25" t="s">
        <v>39</v>
      </c>
      <c r="F10" s="26">
        <v>34982</v>
      </c>
      <c r="G10" s="26">
        <f>F10*(1.14)</f>
        <v>39879.479999999996</v>
      </c>
      <c r="H10" s="26">
        <f t="shared" ref="H10" si="0">+G10*1.12</f>
        <v>44665.017599999999</v>
      </c>
      <c r="I10" s="27">
        <v>46569</v>
      </c>
      <c r="J10" s="24" t="s">
        <v>51</v>
      </c>
      <c r="K10" s="27" t="s">
        <v>48</v>
      </c>
    </row>
    <row r="11" spans="1:11" ht="47" customHeight="1">
      <c r="B11" s="22">
        <v>2</v>
      </c>
      <c r="C11" s="23" t="s">
        <v>12</v>
      </c>
      <c r="D11" s="24">
        <v>28</v>
      </c>
      <c r="E11" s="25" t="s">
        <v>33</v>
      </c>
      <c r="F11" s="26">
        <v>37000</v>
      </c>
      <c r="G11" s="26">
        <f t="shared" ref="G11:G24" si="1">F11*(1+$G$8%)</f>
        <v>42550</v>
      </c>
      <c r="H11" s="26">
        <f t="shared" ref="H11:H25" si="2">+G11*1.12</f>
        <v>47656.000000000007</v>
      </c>
      <c r="I11" s="27">
        <v>46296</v>
      </c>
      <c r="J11" s="24" t="s">
        <v>52</v>
      </c>
      <c r="K11" s="27" t="s">
        <v>49</v>
      </c>
    </row>
    <row r="12" spans="1:11" ht="47" customHeight="1">
      <c r="B12" s="22">
        <v>3</v>
      </c>
      <c r="C12" s="23" t="s">
        <v>13</v>
      </c>
      <c r="D12" s="24">
        <v>40</v>
      </c>
      <c r="E12" s="25" t="s">
        <v>36</v>
      </c>
      <c r="F12" s="26">
        <v>55000</v>
      </c>
      <c r="G12" s="26">
        <f t="shared" si="1"/>
        <v>63249.999999999993</v>
      </c>
      <c r="H12" s="26">
        <f t="shared" si="2"/>
        <v>70840</v>
      </c>
      <c r="I12" s="27">
        <v>46357</v>
      </c>
      <c r="J12" s="24" t="s">
        <v>6</v>
      </c>
      <c r="K12" s="27" t="s">
        <v>49</v>
      </c>
    </row>
    <row r="13" spans="1:11" ht="47" customHeight="1">
      <c r="B13" s="22">
        <v>4</v>
      </c>
      <c r="C13" s="23" t="s">
        <v>14</v>
      </c>
      <c r="D13" s="24">
        <v>400</v>
      </c>
      <c r="E13" s="25" t="s">
        <v>28</v>
      </c>
      <c r="F13" s="26">
        <v>41000</v>
      </c>
      <c r="G13" s="26">
        <f t="shared" si="1"/>
        <v>47149.999999999993</v>
      </c>
      <c r="H13" s="26">
        <f t="shared" si="2"/>
        <v>52808</v>
      </c>
      <c r="I13" s="27">
        <v>46539</v>
      </c>
      <c r="J13" s="24" t="s">
        <v>11</v>
      </c>
      <c r="K13" s="27" t="s">
        <v>48</v>
      </c>
    </row>
    <row r="14" spans="1:11" ht="47" customHeight="1">
      <c r="B14" s="22">
        <v>5</v>
      </c>
      <c r="C14" s="23" t="s">
        <v>40</v>
      </c>
      <c r="D14" s="24">
        <v>40</v>
      </c>
      <c r="E14" s="25" t="s">
        <v>41</v>
      </c>
      <c r="F14" s="26">
        <v>64700</v>
      </c>
      <c r="G14" s="26">
        <f t="shared" si="1"/>
        <v>74405</v>
      </c>
      <c r="H14" s="26">
        <f t="shared" si="2"/>
        <v>83333.600000000006</v>
      </c>
      <c r="I14" s="27">
        <v>46600</v>
      </c>
      <c r="J14" s="24" t="s">
        <v>53</v>
      </c>
      <c r="K14" s="27" t="s">
        <v>49</v>
      </c>
    </row>
    <row r="15" spans="1:11" ht="47" customHeight="1">
      <c r="B15" s="22">
        <v>6</v>
      </c>
      <c r="C15" s="23" t="s">
        <v>21</v>
      </c>
      <c r="D15" s="24">
        <v>64</v>
      </c>
      <c r="E15" s="25" t="s">
        <v>37</v>
      </c>
      <c r="F15" s="26">
        <v>122650</v>
      </c>
      <c r="G15" s="26">
        <f t="shared" si="1"/>
        <v>141047.5</v>
      </c>
      <c r="H15" s="26">
        <f t="shared" si="2"/>
        <v>157973.20000000001</v>
      </c>
      <c r="I15" s="27">
        <v>46143</v>
      </c>
      <c r="J15" s="24" t="s">
        <v>22</v>
      </c>
      <c r="K15" s="27" t="s">
        <v>54</v>
      </c>
    </row>
    <row r="16" spans="1:11" ht="47" customHeight="1">
      <c r="B16" s="22">
        <v>7</v>
      </c>
      <c r="C16" s="23" t="s">
        <v>26</v>
      </c>
      <c r="D16" s="24">
        <v>50</v>
      </c>
      <c r="E16" s="25" t="s">
        <v>31</v>
      </c>
      <c r="F16" s="26">
        <v>90000</v>
      </c>
      <c r="G16" s="26">
        <f t="shared" si="1"/>
        <v>103499.99999999999</v>
      </c>
      <c r="H16" s="26">
        <f t="shared" si="2"/>
        <v>115920</v>
      </c>
      <c r="I16" s="27">
        <v>46600</v>
      </c>
      <c r="J16" s="24" t="s">
        <v>53</v>
      </c>
      <c r="K16" s="27" t="s">
        <v>49</v>
      </c>
    </row>
    <row r="17" spans="2:11" ht="47" customHeight="1">
      <c r="B17" s="22">
        <v>8</v>
      </c>
      <c r="C17" s="23" t="s">
        <v>15</v>
      </c>
      <c r="D17" s="24">
        <v>60</v>
      </c>
      <c r="E17" s="25" t="s">
        <v>34</v>
      </c>
      <c r="F17" s="26">
        <v>40700</v>
      </c>
      <c r="G17" s="26">
        <f t="shared" si="1"/>
        <v>46805</v>
      </c>
      <c r="H17" s="26">
        <f t="shared" si="2"/>
        <v>52421.600000000006</v>
      </c>
      <c r="I17" s="27">
        <v>46296</v>
      </c>
      <c r="J17" s="24" t="s">
        <v>5</v>
      </c>
      <c r="K17" s="27" t="s">
        <v>49</v>
      </c>
    </row>
    <row r="18" spans="2:11" ht="47" customHeight="1">
      <c r="B18" s="22">
        <v>9</v>
      </c>
      <c r="C18" s="23" t="s">
        <v>43</v>
      </c>
      <c r="D18" s="24">
        <v>40</v>
      </c>
      <c r="E18" s="25" t="s">
        <v>35</v>
      </c>
      <c r="F18" s="26">
        <v>33500</v>
      </c>
      <c r="G18" s="26">
        <f t="shared" si="1"/>
        <v>38525</v>
      </c>
      <c r="H18" s="26">
        <f t="shared" si="2"/>
        <v>43148.000000000007</v>
      </c>
      <c r="I18" s="27">
        <v>46296</v>
      </c>
      <c r="J18" s="24" t="s">
        <v>6</v>
      </c>
      <c r="K18" s="27" t="s">
        <v>49</v>
      </c>
    </row>
    <row r="19" spans="2:11" ht="47" customHeight="1">
      <c r="B19" s="22">
        <v>10</v>
      </c>
      <c r="C19" s="23" t="s">
        <v>16</v>
      </c>
      <c r="D19" s="24">
        <v>20</v>
      </c>
      <c r="E19" s="25" t="s">
        <v>35</v>
      </c>
      <c r="F19" s="26">
        <v>40000</v>
      </c>
      <c r="G19" s="26">
        <f t="shared" si="1"/>
        <v>46000</v>
      </c>
      <c r="H19" s="26">
        <f t="shared" si="2"/>
        <v>51520.000000000007</v>
      </c>
      <c r="I19" s="27">
        <v>46296</v>
      </c>
      <c r="J19" s="24" t="s">
        <v>6</v>
      </c>
      <c r="K19" s="27" t="s">
        <v>49</v>
      </c>
    </row>
    <row r="20" spans="2:11" ht="47" customHeight="1">
      <c r="B20" s="22">
        <v>11</v>
      </c>
      <c r="C20" s="23" t="s">
        <v>23</v>
      </c>
      <c r="D20" s="24">
        <v>28</v>
      </c>
      <c r="E20" s="25" t="s">
        <v>35</v>
      </c>
      <c r="F20" s="26">
        <v>40000</v>
      </c>
      <c r="G20" s="26">
        <f t="shared" si="1"/>
        <v>46000</v>
      </c>
      <c r="H20" s="26">
        <f t="shared" si="2"/>
        <v>51520.000000000007</v>
      </c>
      <c r="I20" s="27">
        <v>46661</v>
      </c>
      <c r="J20" s="24" t="s">
        <v>52</v>
      </c>
      <c r="K20" s="27" t="s">
        <v>49</v>
      </c>
    </row>
    <row r="21" spans="2:11" ht="47" customHeight="1">
      <c r="B21" s="22">
        <v>12</v>
      </c>
      <c r="C21" s="23" t="s">
        <v>18</v>
      </c>
      <c r="D21" s="24">
        <v>60</v>
      </c>
      <c r="E21" s="25" t="s">
        <v>29</v>
      </c>
      <c r="F21" s="26">
        <v>145000</v>
      </c>
      <c r="G21" s="26">
        <f>F21*(1.03)</f>
        <v>149350</v>
      </c>
      <c r="H21" s="26">
        <f t="shared" si="2"/>
        <v>167272.00000000003</v>
      </c>
      <c r="I21" s="27">
        <v>46419</v>
      </c>
      <c r="J21" s="24" t="s">
        <v>19</v>
      </c>
      <c r="K21" s="27"/>
    </row>
    <row r="22" spans="2:11" ht="47" customHeight="1">
      <c r="B22" s="22">
        <v>13</v>
      </c>
      <c r="C22" s="23" t="s">
        <v>17</v>
      </c>
      <c r="D22" s="24">
        <v>20</v>
      </c>
      <c r="E22" s="25" t="s">
        <v>30</v>
      </c>
      <c r="F22" s="26">
        <v>41800</v>
      </c>
      <c r="G22" s="26">
        <f t="shared" si="1"/>
        <v>48069.999999999993</v>
      </c>
      <c r="H22" s="26">
        <f t="shared" si="2"/>
        <v>53838.399999999994</v>
      </c>
      <c r="I22" s="27">
        <v>46296</v>
      </c>
      <c r="J22" s="24" t="s">
        <v>6</v>
      </c>
      <c r="K22" s="27" t="s">
        <v>49</v>
      </c>
    </row>
    <row r="23" spans="2:11" ht="40">
      <c r="B23" s="22">
        <v>14</v>
      </c>
      <c r="C23" s="23" t="s">
        <v>27</v>
      </c>
      <c r="D23" s="24">
        <v>50</v>
      </c>
      <c r="E23" s="25" t="s">
        <v>32</v>
      </c>
      <c r="F23" s="26">
        <v>65000</v>
      </c>
      <c r="G23" s="26">
        <f t="shared" si="1"/>
        <v>74750</v>
      </c>
      <c r="H23" s="26">
        <f t="shared" si="2"/>
        <v>83720.000000000015</v>
      </c>
      <c r="I23" s="27">
        <v>46600</v>
      </c>
      <c r="J23" s="24" t="s">
        <v>53</v>
      </c>
      <c r="K23" s="27" t="s">
        <v>49</v>
      </c>
    </row>
    <row r="24" spans="2:11">
      <c r="B24" s="22">
        <v>15</v>
      </c>
      <c r="C24" s="23" t="s">
        <v>44</v>
      </c>
      <c r="D24" s="24">
        <v>40</v>
      </c>
      <c r="E24" s="25" t="s">
        <v>50</v>
      </c>
      <c r="F24" s="26">
        <v>45000</v>
      </c>
      <c r="G24" s="26">
        <f t="shared" si="1"/>
        <v>51749.999999999993</v>
      </c>
      <c r="H24" s="26">
        <f t="shared" si="2"/>
        <v>57960</v>
      </c>
      <c r="I24" s="27">
        <v>46631</v>
      </c>
      <c r="J24" s="24" t="s">
        <v>6</v>
      </c>
      <c r="K24" s="27" t="s">
        <v>49</v>
      </c>
    </row>
    <row r="25" spans="2:11">
      <c r="B25" s="22">
        <v>16</v>
      </c>
      <c r="C25" s="23" t="s">
        <v>45</v>
      </c>
      <c r="D25" s="24">
        <v>20</v>
      </c>
      <c r="E25" s="25" t="s">
        <v>50</v>
      </c>
      <c r="F25" s="26">
        <v>55000</v>
      </c>
      <c r="G25" s="26">
        <f>F25*(1+$G$8%)</f>
        <v>63249.999999999993</v>
      </c>
      <c r="H25" s="26">
        <f t="shared" si="2"/>
        <v>70840</v>
      </c>
      <c r="I25" s="27">
        <v>46539</v>
      </c>
      <c r="J25" s="24" t="s">
        <v>6</v>
      </c>
      <c r="K25" s="27" t="s">
        <v>49</v>
      </c>
    </row>
    <row r="26" spans="2:11">
      <c r="B26" s="1"/>
      <c r="C26" s="1"/>
      <c r="D26" s="1"/>
      <c r="E26" s="1"/>
      <c r="F26" s="1"/>
      <c r="G26" s="1"/>
      <c r="H26" s="1"/>
      <c r="I26" s="1"/>
      <c r="J26" s="1"/>
      <c r="K26" s="1"/>
    </row>
    <row r="28" spans="2:11" ht="130" customHeight="1">
      <c r="B28" s="31" t="s">
        <v>25</v>
      </c>
      <c r="C28" s="31"/>
      <c r="D28" s="31"/>
      <c r="E28" s="31"/>
      <c r="F28" s="31"/>
      <c r="G28" s="31"/>
      <c r="H28" s="31"/>
      <c r="I28" s="31"/>
      <c r="J28" s="31"/>
      <c r="K28" s="31"/>
    </row>
    <row r="29" spans="2:11">
      <c r="C29" s="1"/>
      <c r="D29" s="1"/>
      <c r="E29" s="1"/>
      <c r="F29" s="1"/>
      <c r="G29" s="1"/>
      <c r="H29" s="1"/>
      <c r="I29" s="1"/>
      <c r="J29" s="1"/>
      <c r="K29" s="1"/>
    </row>
    <row r="30" spans="2:11"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2:11">
      <c r="K31" s="15"/>
    </row>
    <row r="32" spans="2:11">
      <c r="K32" s="21"/>
    </row>
    <row r="33" spans="11:11">
      <c r="K33" s="21"/>
    </row>
    <row r="34" spans="11:11">
      <c r="K34" s="15"/>
    </row>
    <row r="35" spans="11:11" ht="25" customHeight="1">
      <c r="K35" s="1"/>
    </row>
  </sheetData>
  <autoFilter ref="B9:K25" xr:uid="{00000000-0009-0000-0000-000000000000}"/>
  <mergeCells count="4">
    <mergeCell ref="J8:K8"/>
    <mergeCell ref="D7:H7"/>
    <mergeCell ref="B28:K28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2026-03-16T05:18:00Z</dcterms:modified>
</cp:coreProperties>
</file>