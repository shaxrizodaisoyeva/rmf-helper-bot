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esktop/Bot data/Prays list/"/>
    </mc:Choice>
  </mc:AlternateContent>
  <xr:revisionPtr revIDLastSave="0" documentId="13_ncr:1_{63F4D33E-22EC-C443-A47E-87DA9BFF4FFE}" xr6:coauthVersionLast="47" xr6:coauthVersionMax="47" xr10:uidLastSave="{00000000-0000-0000-0000-000000000000}"/>
  <bookViews>
    <workbookView xWindow="0" yWindow="620" windowWidth="38400" windowHeight="18760" xr2:uid="{00000000-000D-0000-FFFF-FFFF00000000}"/>
  </bookViews>
  <sheets>
    <sheet name="Прайс-лист" sheetId="1" r:id="rId1"/>
  </sheets>
  <definedNames>
    <definedName name="_xlnm._FilterDatabase" localSheetId="0" hidden="1">'Прайс-лист'!$B$9:$K$19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G19" i="1" l="1"/>
  <c r="H19" i="1" s="1"/>
  <c r="G18" i="1"/>
  <c r="H18" i="1" s="1"/>
  <c r="G13" i="1"/>
  <c r="H13" i="1" s="1"/>
  <c r="G15" i="1" l="1"/>
  <c r="H15" i="1" s="1"/>
  <c r="G17" i="1"/>
  <c r="H17" i="1" s="1"/>
  <c r="H16" i="1"/>
  <c r="G14" i="1"/>
  <c r="H14" i="1" s="1"/>
  <c r="G12" i="1"/>
  <c r="H12" i="1" s="1"/>
  <c r="G11" i="1"/>
  <c r="H11" i="1" s="1"/>
  <c r="G10" i="1"/>
  <c r="H10" i="1" s="1"/>
</calcChain>
</file>

<file path=xl/sharedStrings.xml><?xml version="1.0" encoding="utf-8"?>
<sst xmlns="http://schemas.openxmlformats.org/spreadsheetml/2006/main" count="54" uniqueCount="41">
  <si>
    <t>МНН</t>
  </si>
  <si>
    <t>Базовая цена</t>
  </si>
  <si>
    <t>Производитель</t>
  </si>
  <si>
    <t xml:space="preserve">Наименование </t>
  </si>
  <si>
    <t>№</t>
  </si>
  <si>
    <t>СП ООО «Samarkand England Eco-Medical»</t>
  </si>
  <si>
    <t>«ZEISS PHARMACEUTICALS PVT.LTD»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</si>
  <si>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</si>
  <si>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</si>
  <si>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</si>
  <si>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</si>
  <si>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Ангиотрен р-р. для инф  200мл №1</t>
  </si>
  <si>
    <t>Зотокам 1,125г пор для инък №1</t>
  </si>
  <si>
    <t>Рогинолит р-р. для инф 200 мл №1</t>
  </si>
  <si>
    <t>Элгинарин р-р. для инф 100мл №1</t>
  </si>
  <si>
    <t>Форкард раствор для инъекций  10% 5мл №10</t>
  </si>
  <si>
    <t>OOO BAYAN MEDICAL</t>
  </si>
  <si>
    <t>Орг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</si>
  <si>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</si>
  <si>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</si>
  <si>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Синаперазон С порошок для приготовления раствора для инъекций 1000 мг+500мг №1 в комплект</t>
  </si>
  <si>
    <t>Amantadine sulfate</t>
  </si>
  <si>
    <t>Ceftriaxone – 1000 mg + tazobactam – 125 mg (Ceftriaxone + tazobactam)</t>
  </si>
  <si>
    <t>Tranexamic acid</t>
  </si>
  <si>
    <t>sulbactam + cefoperazone</t>
  </si>
  <si>
    <t>Pentoxifilinе</t>
  </si>
  <si>
    <t>L-arginine</t>
  </si>
  <si>
    <t>Sorbitol, sodium lactate, sodium chloride,
potassium chloride, calcium chloride, magnesium chloride</t>
  </si>
  <si>
    <t>Прайс-лист на 01.11.2025</t>
  </si>
  <si>
    <t>Рогинолит р-р. для инф 100 мл №1</t>
  </si>
  <si>
    <t>Экситен р-р. для инф 100 мл Nº1</t>
  </si>
  <si>
    <t>Экситен р-р. для инф 200 мл Nº1</t>
  </si>
  <si>
    <t>Бронь</t>
  </si>
  <si>
    <t>Страна</t>
  </si>
  <si>
    <t>Индия</t>
  </si>
  <si>
    <t>Узбекистан</t>
  </si>
  <si>
    <t>Meglumine</t>
  </si>
  <si>
    <t xml:space="preserve">СП ООО "Reka Med Farm" </t>
  </si>
  <si>
    <t xml:space="preserve">MSME Synapse Pharmatech </t>
  </si>
  <si>
    <t>Адинтан Нео р-р. для инфузий 0,8мг/мл 200 мл №1</t>
  </si>
  <si>
    <t xml:space="preserve">ООО "Temur Med Farm"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</si>
</sst>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top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29"/>
  <sheetViews>
    <sheetView tabSelected="1" topLeftCell="A7" zoomScale="91" zoomScaleNormal="70" zoomScalePageLayoutView="40" workbookViewId="0">
      <selection activeCell="J10" sqref="J10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4" customWidth="1"/>
    <col min="14" max="14" width="26" style="1" bestFit="1" customWidth="1"/>
    <col min="15" max="16384" width="8.83203125" style="1"/>
  </cols>
  <sheetData>
    <row r="3" spans="1:13">
      <c r="F3" s="2"/>
      <c r="G3" s="2"/>
      <c r="H3" s="2"/>
      <c r="I3" s="2"/>
    </row>
    <row r="4" spans="1:13" ht="36" customHeight="1">
      <c r="F4" s="2"/>
      <c r="G4" s="2"/>
      <c r="H4" s="2"/>
      <c r="I4" s="2"/>
    </row>
    <row r="5" spans="1:13">
      <c r="F5" s="2"/>
      <c r="G5" s="2"/>
      <c r="H5" s="2"/>
      <c r="I5" s="2"/>
    </row>
    <row r="6" spans="1:13" ht="49" customHeight="1">
      <c r="B6" s="18"/>
      <c r="C6" s="35" t="s">
        <v>7</v>
      </c>
      <c r="D6" s="35"/>
      <c r="E6" s="35"/>
      <c r="F6" s="35"/>
      <c r="G6" s="35"/>
      <c r="H6" s="35"/>
      <c r="I6" s="35"/>
      <c r="J6" s="35"/>
      <c r="K6" s="18"/>
    </row>
    <row r="7" spans="1:13" ht="49" customHeight="1">
      <c r="B7" s="19"/>
      <c r="C7" s="19"/>
      <c r="D7" s="33" t="s">
        <v>28</v>
      </c>
      <c r="E7" s="33"/>
      <c r="F7" s="33"/>
      <c r="G7" s="33"/>
      <c r="H7" s="33"/>
      <c r="I7" s="31"/>
      <c r="J7" s="19"/>
      <c r="K7" s="19"/>
    </row>
    <row r="8" spans="1:13" ht="24.75" customHeight="1">
      <c r="B8" s="9"/>
      <c r="C8" s="11"/>
      <c r="D8" s="5"/>
      <c r="E8" s="13"/>
      <c r="F8" s="6"/>
      <c r="G8" s="16">
        <v>15</v>
      </c>
      <c r="H8" s="16"/>
      <c r="I8" s="16"/>
      <c r="J8" s="32" t="s">
        <v>9</v>
      </c>
      <c r="K8" s="32"/>
    </row>
    <row r="9" spans="1:13" ht="83.25" customHeight="1">
      <c r="A9" s="20" t="s">
        <v>32</v>
      </c>
      <c r="B9" s="20" t="s">
        <v>4</v>
      </c>
      <c r="C9" s="20" t="s">
        <v>3</v>
      </c>
      <c r="D9" s="20" t="s">
        <v>17</v>
      </c>
      <c r="E9" s="20" t="s">
        <v>0</v>
      </c>
      <c r="F9" s="21" t="s">
        <v>1</v>
      </c>
      <c r="G9" s="21" t="s">
        <v>8</v>
      </c>
      <c r="H9" s="21" t="s">
        <v>10</v>
      </c>
      <c r="I9" s="22" t="s">
        <v>18</v>
      </c>
      <c r="J9" s="20" t="s">
        <v>2</v>
      </c>
      <c r="K9" s="22" t="s">
        <v>33</v>
      </c>
    </row>
    <row r="10" spans="1:13" s="8" customFormat="1" ht="48" customHeight="1">
      <c r="B10" s="24">
        <v>1</v>
      </c>
      <c r="C10" s="25" t="s">
        <v>39</v>
      </c>
      <c r="D10" s="26">
        <v>30</v>
      </c>
      <c r="E10" s="27" t="s">
        <v>21</v>
      </c>
      <c r="F10" s="28">
        <v>95400</v>
      </c>
      <c r="G10" s="28">
        <f t="shared" ref="G10:G18" si="0">F10*(1+$G$8%)</f>
        <v>109709.99999999999</v>
      </c>
      <c r="H10" s="28">
        <f>+G10*1.12</f>
        <v>122875.2</v>
      </c>
      <c r="I10" s="29">
        <v>47119</v>
      </c>
      <c r="J10" s="26" t="s">
        <v>40</v>
      </c>
      <c r="K10" s="29" t="s">
        <v>35</v>
      </c>
      <c r="M10" s="15"/>
    </row>
    <row r="11" spans="1:13" ht="47" customHeight="1">
      <c r="B11" s="24">
        <v>2</v>
      </c>
      <c r="C11" s="25" t="s">
        <v>11</v>
      </c>
      <c r="D11" s="26">
        <v>28</v>
      </c>
      <c r="E11" s="27" t="s">
        <v>25</v>
      </c>
      <c r="F11" s="28">
        <v>37000</v>
      </c>
      <c r="G11" s="28">
        <f t="shared" si="0"/>
        <v>42550</v>
      </c>
      <c r="H11" s="28">
        <f t="shared" ref="H11:H19" si="1">+G11*1.12</f>
        <v>47656.000000000007</v>
      </c>
      <c r="I11" s="29">
        <v>46296</v>
      </c>
      <c r="J11" s="26" t="s">
        <v>37</v>
      </c>
      <c r="K11" s="29" t="s">
        <v>35</v>
      </c>
    </row>
    <row r="12" spans="1:13" ht="47" customHeight="1">
      <c r="B12" s="24">
        <v>3</v>
      </c>
      <c r="C12" s="25" t="s">
        <v>12</v>
      </c>
      <c r="D12" s="26">
        <v>240</v>
      </c>
      <c r="E12" s="27" t="s">
        <v>22</v>
      </c>
      <c r="F12" s="28">
        <v>45000</v>
      </c>
      <c r="G12" s="28">
        <f t="shared" si="0"/>
        <v>51749.999999999993</v>
      </c>
      <c r="H12" s="28">
        <f t="shared" si="1"/>
        <v>57960</v>
      </c>
      <c r="I12" s="29">
        <v>46296</v>
      </c>
      <c r="J12" s="26" t="s">
        <v>6</v>
      </c>
      <c r="K12" s="29" t="s">
        <v>34</v>
      </c>
    </row>
    <row r="13" spans="1:13" ht="47" customHeight="1">
      <c r="B13" s="24">
        <v>4</v>
      </c>
      <c r="C13" s="25" t="s">
        <v>29</v>
      </c>
      <c r="D13" s="26">
        <v>40</v>
      </c>
      <c r="E13" s="27" t="s">
        <v>27</v>
      </c>
      <c r="F13" s="28">
        <v>33500</v>
      </c>
      <c r="G13" s="28">
        <f t="shared" si="0"/>
        <v>38525</v>
      </c>
      <c r="H13" s="28">
        <f t="shared" si="1"/>
        <v>43148.000000000007</v>
      </c>
      <c r="I13" s="29">
        <v>46296</v>
      </c>
      <c r="J13" s="26" t="s">
        <v>5</v>
      </c>
      <c r="K13" s="29" t="s">
        <v>35</v>
      </c>
    </row>
    <row r="14" spans="1:13" ht="47" customHeight="1">
      <c r="B14" s="24">
        <v>5</v>
      </c>
      <c r="C14" s="25" t="s">
        <v>13</v>
      </c>
      <c r="D14" s="26">
        <v>20</v>
      </c>
      <c r="E14" s="27" t="s">
        <v>27</v>
      </c>
      <c r="F14" s="28">
        <v>40000</v>
      </c>
      <c r="G14" s="28">
        <f t="shared" si="0"/>
        <v>46000</v>
      </c>
      <c r="H14" s="28">
        <f t="shared" si="1"/>
        <v>51520.000000000007</v>
      </c>
      <c r="I14" s="29">
        <v>46296</v>
      </c>
      <c r="J14" s="26" t="s">
        <v>5</v>
      </c>
      <c r="K14" s="29" t="s">
        <v>35</v>
      </c>
    </row>
    <row r="15" spans="1:13" ht="47" customHeight="1">
      <c r="B15" s="24">
        <v>6</v>
      </c>
      <c r="C15" s="30" t="s">
        <v>20</v>
      </c>
      <c r="D15" s="26">
        <v>200</v>
      </c>
      <c r="E15" s="27" t="s">
        <v>24</v>
      </c>
      <c r="F15" s="28">
        <v>44523.3</v>
      </c>
      <c r="G15" s="28">
        <f t="shared" si="0"/>
        <v>51201.794999999998</v>
      </c>
      <c r="H15" s="28">
        <f t="shared" si="1"/>
        <v>57346.010400000006</v>
      </c>
      <c r="I15" s="29">
        <v>46447</v>
      </c>
      <c r="J15" s="26" t="s">
        <v>38</v>
      </c>
      <c r="K15" s="29" t="s">
        <v>34</v>
      </c>
    </row>
    <row r="16" spans="1:13" ht="47" customHeight="1">
      <c r="B16" s="24">
        <v>7</v>
      </c>
      <c r="C16" s="25" t="s">
        <v>15</v>
      </c>
      <c r="D16" s="26">
        <v>60</v>
      </c>
      <c r="E16" s="27" t="s">
        <v>23</v>
      </c>
      <c r="F16" s="28">
        <v>145000</v>
      </c>
      <c r="G16" s="28">
        <f>F16*(1.03)</f>
        <v>149350</v>
      </c>
      <c r="H16" s="28">
        <f t="shared" si="1"/>
        <v>167272.00000000003</v>
      </c>
      <c r="I16" s="29">
        <v>46419</v>
      </c>
      <c r="J16" s="26" t="s">
        <v>16</v>
      </c>
      <c r="K16" s="29"/>
    </row>
    <row r="17" spans="2:11" ht="47" customHeight="1">
      <c r="B17" s="24">
        <v>8</v>
      </c>
      <c r="C17" s="25" t="s">
        <v>14</v>
      </c>
      <c r="D17" s="26">
        <v>40</v>
      </c>
      <c r="E17" s="27" t="s">
        <v>26</v>
      </c>
      <c r="F17" s="28">
        <v>44588</v>
      </c>
      <c r="G17" s="28">
        <f t="shared" si="0"/>
        <v>51276.2</v>
      </c>
      <c r="H17" s="28">
        <f t="shared" si="1"/>
        <v>57429.344000000005</v>
      </c>
      <c r="I17" s="29">
        <v>46296</v>
      </c>
      <c r="J17" s="26" t="s">
        <v>5</v>
      </c>
      <c r="K17" s="29" t="s">
        <v>35</v>
      </c>
    </row>
    <row r="18" spans="2:11">
      <c r="B18" s="24">
        <v>9</v>
      </c>
      <c r="C18" s="25" t="s">
        <v>30</v>
      </c>
      <c r="D18" s="26">
        <v>40</v>
      </c>
      <c r="E18" s="27" t="s">
        <v>36</v>
      </c>
      <c r="F18" s="28">
        <v>45000</v>
      </c>
      <c r="G18" s="28">
        <f t="shared" si="0"/>
        <v>51749.999999999993</v>
      </c>
      <c r="H18" s="28">
        <f t="shared" si="1"/>
        <v>57960</v>
      </c>
      <c r="I18" s="29">
        <v>46631</v>
      </c>
      <c r="J18" s="26" t="s">
        <v>5</v>
      </c>
      <c r="K18" s="29" t="s">
        <v>35</v>
      </c>
    </row>
    <row r="19" spans="2:11">
      <c r="B19" s="24">
        <v>10</v>
      </c>
      <c r="C19" s="25" t="s">
        <v>31</v>
      </c>
      <c r="D19" s="26">
        <v>20</v>
      </c>
      <c r="E19" s="27" t="s">
        <v>36</v>
      </c>
      <c r="F19" s="28">
        <v>55000</v>
      </c>
      <c r="G19" s="28">
        <f>F19*(1+$G$8%)</f>
        <v>63249.999999999993</v>
      </c>
      <c r="H19" s="28">
        <f t="shared" si="1"/>
        <v>70840</v>
      </c>
      <c r="I19" s="29">
        <v>46539</v>
      </c>
      <c r="J19" s="26" t="s">
        <v>5</v>
      </c>
      <c r="K19" s="29" t="s">
        <v>35</v>
      </c>
    </row>
    <row r="20" spans="2:11">
      <c r="B20" s="1"/>
      <c r="C20" s="1"/>
      <c r="D20" s="1"/>
      <c r="E20" s="1"/>
      <c r="F20" s="1"/>
      <c r="G20" s="1"/>
      <c r="H20" s="1"/>
      <c r="I20" s="1"/>
      <c r="J20" s="1"/>
      <c r="K20" s="1"/>
    </row>
    <row r="22" spans="2:11" ht="130" customHeight="1">
      <c r="B22" s="34" t="s">
        <v>19</v>
      </c>
      <c r="C22" s="34"/>
      <c r="D22" s="34"/>
      <c r="E22" s="34"/>
      <c r="F22" s="34"/>
      <c r="G22" s="34"/>
      <c r="H22" s="34"/>
      <c r="I22" s="34"/>
      <c r="J22" s="34"/>
      <c r="K22" s="34"/>
    </row>
    <row r="23" spans="2:11">
      <c r="C23" s="1"/>
      <c r="D23" s="1"/>
      <c r="E23" s="1"/>
      <c r="F23" s="1"/>
      <c r="G23" s="1"/>
      <c r="H23" s="1"/>
      <c r="I23" s="1"/>
      <c r="J23" s="1"/>
      <c r="K23" s="1"/>
    </row>
    <row r="24" spans="2:11"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2:11">
      <c r="K25" s="17"/>
    </row>
    <row r="26" spans="2:11">
      <c r="K26" s="23"/>
    </row>
    <row r="27" spans="2:11">
      <c r="K27" s="23"/>
    </row>
    <row r="28" spans="2:11">
      <c r="K28" s="17"/>
    </row>
    <row r="29" spans="2:11" ht="25" customHeight="1">
      <c r="K29" s="1"/>
    </row>
  </sheetData>
  <autoFilter ref="B9:K19" xr:uid="{00000000-0009-0000-0000-000000000000}"/>
  <mergeCells count="4">
    <mergeCell ref="J8:K8"/>
    <mergeCell ref="D7:H7"/>
    <mergeCell ref="B22:K22"/>
    <mergeCell ref="C6:J6"/>
  </mergeCells>
  <phoneticPr fontId="7" type="noConversion"/>
  <pageMargins left="0" right="0" top="0" bottom="0" header="0" footer="0"/>
  <pageSetup paperSize="9" scale="51" fitToHeight="0" orientation="portrait" copies="3" r:id="rId1"/>
  <ignoredErrors>
    <ignoredError sqref="G16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2026-04-01T04:45:41Z</dcterms:modified>
</cp:coreProperties>
</file>