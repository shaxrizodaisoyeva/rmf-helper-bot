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5ED9F188-A691-8946-BAF0-1A91C48D7825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 l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<sst xmlns="http://schemas.openxmlformats.org/spreadsheetml/2006/main" count="31" uniqueCount="27">
  <si>
    <t>МНН</t>
  </si>
  <si>
    <t>Базовая цена</t>
  </si>
  <si>
    <t>Производитель</t>
  </si>
  <si>
    <t xml:space="preserve">Наименование </t>
  </si>
  <si>
    <t>№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</si>
  <si>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</si>
  <si>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</si>
  <si>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</si>
  <si>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</si>
  <si>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Адинтан р-р. для инф  200 мл №1</t>
  </si>
  <si>
    <t>Ангиотрен р-р. для инф  200мл №1</t>
  </si>
  <si>
    <t>Орг</t>
  </si>
  <si>
    <t>Семпер р-р. для инф 200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</si>
  <si>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</si>
  <si>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</si>
  <si>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Amantadine sulfate</t>
  </si>
  <si>
    <t>Pentoxifilinе</t>
  </si>
  <si>
    <t>Sorbitol, sodium lactate, sodium chloride,
potassium chloride, calcium chloride, magnesium chloride</t>
  </si>
  <si>
    <t>Акваципро-Д гл. капли №1</t>
  </si>
  <si>
    <t>Ciprofloxacin + Dexamethasone</t>
  </si>
  <si>
    <t>Прайс-лист на 01.11.2025</t>
  </si>
  <si>
    <t>Бронь</t>
  </si>
  <si>
    <t>Страна</t>
  </si>
  <si>
    <t>Индия</t>
  </si>
  <si>
    <t>Узбекистан</t>
  </si>
  <si>
    <t xml:space="preserve">East African Overseases </t>
  </si>
  <si>
    <t xml:space="preserve">СП ООО "Reka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</si>
</sst>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3"/>
  <sheetViews>
    <sheetView tabSelected="1" zoomScale="91" zoomScaleNormal="70" zoomScalePageLayoutView="40" workbookViewId="0">
      <selection activeCell="C15" sqref="C15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5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20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7</v>
      </c>
      <c r="K8" s="31"/>
    </row>
    <row r="9" spans="1:13" ht="83.25" customHeight="1">
      <c r="A9" s="20" t="s">
        <v>21</v>
      </c>
      <c r="B9" s="20" t="s">
        <v>4</v>
      </c>
      <c r="C9" s="20" t="s">
        <v>3</v>
      </c>
      <c r="D9" s="20" t="s">
        <v>11</v>
      </c>
      <c r="E9" s="20" t="s">
        <v>0</v>
      </c>
      <c r="F9" s="21" t="s">
        <v>1</v>
      </c>
      <c r="G9" s="21" t="s">
        <v>6</v>
      </c>
      <c r="H9" s="21" t="s">
        <v>8</v>
      </c>
      <c r="I9" s="22" t="s">
        <v>13</v>
      </c>
      <c r="J9" s="20" t="s">
        <v>2</v>
      </c>
      <c r="K9" s="22" t="s">
        <v>22</v>
      </c>
    </row>
    <row r="10" spans="1:13" ht="48" customHeight="1">
      <c r="B10" s="24">
        <v>1</v>
      </c>
      <c r="C10" s="25" t="s">
        <v>18</v>
      </c>
      <c r="D10" s="26">
        <v>500</v>
      </c>
      <c r="E10" s="27" t="s">
        <v>19</v>
      </c>
      <c r="F10" s="28">
        <v>34982</v>
      </c>
      <c r="G10" s="28">
        <f>F10*(1.14)</f>
        <v>39879.479999999996</v>
      </c>
      <c r="H10" s="28">
        <f t="shared" ref="H10" si="0">+G10*1.12</f>
        <v>44665.017599999999</v>
      </c>
      <c r="I10" s="29">
        <v>46569</v>
      </c>
      <c r="J10" s="26" t="s">
        <v>25</v>
      </c>
      <c r="K10" s="29" t="s">
        <v>23</v>
      </c>
    </row>
    <row r="11" spans="1:13" s="8" customFormat="1" ht="48" customHeight="1">
      <c r="B11" s="24">
        <v>2</v>
      </c>
      <c r="C11" s="25" t="s">
        <v>9</v>
      </c>
      <c r="D11" s="26">
        <v>28</v>
      </c>
      <c r="E11" s="27" t="s">
        <v>15</v>
      </c>
      <c r="F11" s="28">
        <v>95400</v>
      </c>
      <c r="G11" s="28">
        <f t="shared" ref="G11:G13" si="1">F11*(1+$G$8%)</f>
        <v>109709.99999999999</v>
      </c>
      <c r="H11" s="28">
        <f>+G11*1.12</f>
        <v>122875.2</v>
      </c>
      <c r="I11" s="29">
        <v>46388</v>
      </c>
      <c r="J11" s="26" t="s">
        <v>26</v>
      </c>
      <c r="K11" s="29" t="s">
        <v>24</v>
      </c>
      <c r="M11" s="15"/>
    </row>
    <row r="12" spans="1:13" ht="47" customHeight="1">
      <c r="B12" s="24">
        <v>3</v>
      </c>
      <c r="C12" s="25" t="s">
        <v>10</v>
      </c>
      <c r="D12" s="26">
        <v>28</v>
      </c>
      <c r="E12" s="27" t="s">
        <v>16</v>
      </c>
      <c r="F12" s="28">
        <v>37000</v>
      </c>
      <c r="G12" s="28">
        <f t="shared" si="1"/>
        <v>42550</v>
      </c>
      <c r="H12" s="28">
        <f t="shared" ref="H12:H13" si="2">+G12*1.12</f>
        <v>47656.000000000007</v>
      </c>
      <c r="I12" s="29">
        <v>46296</v>
      </c>
      <c r="J12" s="26" t="s">
        <v>26</v>
      </c>
      <c r="K12" s="29" t="s">
        <v>24</v>
      </c>
    </row>
    <row r="13" spans="1:13" ht="47" customHeight="1">
      <c r="B13" s="24">
        <v>4</v>
      </c>
      <c r="C13" s="25" t="s">
        <v>12</v>
      </c>
      <c r="D13" s="26">
        <v>28</v>
      </c>
      <c r="E13" s="27" t="s">
        <v>17</v>
      </c>
      <c r="F13" s="28">
        <v>40000</v>
      </c>
      <c r="G13" s="28">
        <f t="shared" si="1"/>
        <v>46000</v>
      </c>
      <c r="H13" s="28">
        <f t="shared" si="2"/>
        <v>51520.000000000007</v>
      </c>
      <c r="I13" s="29">
        <v>46661</v>
      </c>
      <c r="J13" s="26" t="s">
        <v>26</v>
      </c>
      <c r="K13" s="29" t="s">
        <v>24</v>
      </c>
    </row>
    <row r="14" spans="1:13">
      <c r="B14" s="1"/>
      <c r="C14" s="1"/>
      <c r="D14" s="1"/>
      <c r="E14" s="1"/>
      <c r="F14" s="1"/>
      <c r="G14" s="1"/>
      <c r="H14" s="1"/>
      <c r="I14" s="1"/>
      <c r="J14" s="1"/>
      <c r="K14" s="1"/>
    </row>
    <row r="16" spans="1:13" ht="130" customHeight="1">
      <c r="B16" s="33" t="s">
        <v>14</v>
      </c>
      <c r="C16" s="33"/>
      <c r="D16" s="33"/>
      <c r="E16" s="33"/>
      <c r="F16" s="33"/>
      <c r="G16" s="33"/>
      <c r="H16" s="33"/>
      <c r="I16" s="33"/>
      <c r="J16" s="33"/>
      <c r="K16" s="33"/>
    </row>
    <row r="17" spans="2:11"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K19" s="17"/>
    </row>
    <row r="20" spans="2:11">
      <c r="K20" s="23"/>
    </row>
    <row r="21" spans="2:11">
      <c r="K21" s="23"/>
    </row>
    <row r="22" spans="2:11">
      <c r="K22" s="17"/>
    </row>
    <row r="23" spans="2:11" ht="25" customHeight="1">
      <c r="K23" s="1"/>
    </row>
  </sheetData>
  <autoFilter ref="B9:K13" xr:uid="{00000000-0009-0000-0000-000000000000}"/>
  <mergeCells count="4">
    <mergeCell ref="J8:K8"/>
    <mergeCell ref="D7:H7"/>
    <mergeCell ref="B16:K16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2026-03-02T05:58:14Z</dcterms:modified>
</cp:coreProperties>
</file>