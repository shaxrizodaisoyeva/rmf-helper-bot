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526"/>
  <workbookPr autoCompressPictures="0"/>
  <mc:AlternateContent xmlns:mc="http://schemas.openxmlformats.org/markup-compatibility/2006">
    <mc:Choice Requires="x15">
      <x15ac:absPath xmlns:x15ac="http://schemas.microsoft.com/office/spreadsheetml/2010/11/ac" url="/Users/shakhrizodaisoeva/Downloads/"/>
    </mc:Choice>
  </mc:AlternateContent>
  <xr:revisionPtr revIDLastSave="0" documentId="13_ncr:1_{7B989013-8A23-B444-9398-A990FA1FBF74}" xr6:coauthVersionLast="47" xr6:coauthVersionMax="47" xr10:uidLastSave="{00000000-0000-0000-0000-000000000000}"/>
  <bookViews>
    <workbookView xWindow="0" yWindow="0" windowWidth="38400" windowHeight="21600" xr2:uid="{00000000-000D-0000-FFFF-FFFF00000000}"/>
  </bookViews>
  <sheets>
    <sheet name="Прайс-лист" sheetId="1" r:id="rId1"/>
  </sheets>
  <definedNames>
    <definedName name="_xlnm._FilterDatabase" localSheetId="0" hidden="1">'Прайс-лист'!$B$9:$K$41</definedName>
  </definedName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3" i="1" l="1"/>
  <c r="G10" i="1"/>
  <c r="G17" i="1"/>
  <c r="H17" i="1" s="1"/>
  <c r="G41" i="1" l="1"/>
  <c r="H41" i="1" s="1"/>
  <c r="G40" i="1"/>
  <c r="H40" i="1" s="1"/>
  <c r="G28" i="1"/>
  <c r="H28" i="1" s="1"/>
  <c r="G39" i="1" l="1"/>
  <c r="H39" i="1" s="1"/>
  <c r="G31" i="1"/>
  <c r="H31" i="1" s="1"/>
  <c r="G22" i="1"/>
  <c r="H22" i="1" s="1"/>
  <c r="G25" i="1"/>
  <c r="H25" i="1" s="1"/>
  <c r="G32" i="1"/>
  <c r="H32" i="1" s="1"/>
  <c r="H10" i="1"/>
  <c r="G38" i="1"/>
  <c r="H38" i="1" s="1"/>
  <c r="G37" i="1"/>
  <c r="H37" i="1" s="1"/>
  <c r="G36" i="1"/>
  <c r="H36" i="1" s="1"/>
  <c r="G35" i="1"/>
  <c r="H35" i="1" s="1"/>
  <c r="G34" i="1"/>
  <c r="H34" i="1" s="1"/>
  <c r="H33" i="1"/>
  <c r="G30" i="1"/>
  <c r="H30" i="1" s="1"/>
  <c r="G29" i="1"/>
  <c r="H29" i="1" s="1"/>
  <c r="G27" i="1"/>
  <c r="H27" i="1" s="1"/>
  <c r="G26" i="1"/>
  <c r="H26" i="1" s="1"/>
  <c r="G24" i="1"/>
  <c r="H24" i="1" s="1"/>
  <c r="G23" i="1"/>
  <c r="H23" i="1" s="1"/>
  <c r="G21" i="1"/>
  <c r="H21" i="1" s="1"/>
  <c r="G20" i="1"/>
  <c r="H20" i="1" s="1"/>
  <c r="G19" i="1"/>
  <c r="H19" i="1" s="1"/>
  <c r="G18" i="1"/>
  <c r="H18" i="1" s="1"/>
  <c r="G16" i="1"/>
  <c r="H16" i="1" s="1"/>
  <c r="G15" i="1"/>
  <c r="H15" i="1" s="1"/>
  <c r="G14" i="1"/>
  <c r="H14" i="1" s="1"/>
  <c r="G13" i="1"/>
  <c r="H13" i="1" s="1"/>
  <c r="G12" i="1"/>
  <c r="H12" i="1" s="1"/>
  <c r="G11" i="1"/>
  <c r="H11" i="1" s="1"/>
</calcChain>
</file>

<file path=xl/sharedStrings.xml><?xml version="1.0" encoding="utf-8"?>
<sst xmlns="http://schemas.openxmlformats.org/spreadsheetml/2006/main" count="142" uniqueCount="90">
  <si>
    <t>МНН</t>
  </si>
  <si>
    <t>Базовая цена</t>
  </si>
  <si>
    <t>Производитель</t>
  </si>
  <si>
    <t xml:space="preserve">Наименование </t>
  </si>
  <si>
    <t>№</t>
  </si>
  <si>
    <t>СП ООО "Reka Med Farm"</t>
  </si>
  <si>
    <t>СП ООО «Samarkand England Eco-Medical»</t>
  </si>
  <si>
    <t>VMP Pharmaceuticals PVT.LTD</t>
  </si>
  <si>
    <t>«ZEISS PHARMACEUTICALS PVT.LTD»</t>
  </si>
  <si>
    <t xml:space="preserve">OOO “Reflective Med Pharm” </t>
  </si>
  <si>
    <t xml:space="preserve">Наценка 15% </t>
  </si>
  <si>
    <t>Цена с указано Без НДС  ***</t>
  </si>
  <si>
    <t>с НДС</t>
  </si>
  <si>
    <t>Ronald Pharmaceutical Pvt. Ltd</t>
  </si>
  <si>
    <t>Эвотрон р-р. для инф 100 мл №1</t>
  </si>
  <si>
    <t>Адинтан р-р. для инф  200 мл №1</t>
  </si>
  <si>
    <t>Ангиотрен р-р. для инф  200мл №1</t>
  </si>
  <si>
    <t>Агрицит р-р. для инф 100 мл №1</t>
  </si>
  <si>
    <t>Доунарин р-р. для инф  100мл №1</t>
  </si>
  <si>
    <t>Зотокам 1,125г пор для инък №1</t>
  </si>
  <si>
    <t>Исофлокс 500мг блистеры №10</t>
  </si>
  <si>
    <t>Рангор р-р для инъек 100 мг 5мл №5</t>
  </si>
  <si>
    <t>Рогинолит р-р. для инф 200 мл №1</t>
  </si>
  <si>
    <t>Форферро р-р для инъек. 100мг/5мл 5мл №5</t>
  </si>
  <si>
    <t>Элоксилит р-р. для инф 250 мл №1</t>
  </si>
  <si>
    <t>Элгинарин р-р. для инф 100мл №1</t>
  </si>
  <si>
    <t>Форкард раствор для инъекций  10% 5мл №10</t>
  </si>
  <si>
    <t>OOO BAYAN MEDICAL</t>
  </si>
  <si>
    <t>Орг</t>
  </si>
  <si>
    <t>Биосем р-р. для инф 100 мл №1</t>
  </si>
  <si>
    <t>Ликрузен ваг.капс 90мг №6</t>
  </si>
  <si>
    <t>Heilongjiang Tianlong Pharmaceutical Co.,Ltd</t>
  </si>
  <si>
    <t>Мексибел  р-р для инъек. 50мг/мл №10</t>
  </si>
  <si>
    <t>РУП "Белмедпрепараты"</t>
  </si>
  <si>
    <t>Неодексон р-р. для инф  100 мл №1</t>
  </si>
  <si>
    <t>Ангисем р-р. для инф   100 мл №1</t>
  </si>
  <si>
    <t>Эльфор р-р. для инф  5м/мл</t>
  </si>
  <si>
    <t>Семпер р-р. для инф 200 мл №1</t>
  </si>
  <si>
    <t>Кардисем  р-р. для инф 100 мл №1</t>
  </si>
  <si>
    <t>Срок годности</t>
  </si>
  <si>
    <t>Реквизиты: OOO «REFLECTIVE MED PHARM» Адрес: 111801, Республика Узбекистан, Ташкентская область, Зангиотинский район, Уртаул коргани, Катта Чинор МФЙ, 1А Р/с20208000905364813002 в «УЗСАНОАТКУРИЛИШБАНКИ» АТБ БОШ ОФИСИ   МФО:00440   ИНН:   308321773.  ОКЭД 46460</t>
  </si>
  <si>
    <t>Синаперазон С порошок для приготовления раствора для инъекций 1000 мг+500мг №1 в комплект</t>
  </si>
  <si>
    <t>Миранол Раствор для внутривенного введения 50мл стеклянные флаконы</t>
  </si>
  <si>
    <t>Софин Раствор для инфузий 5 % 100мл стеклянные флаконы</t>
  </si>
  <si>
    <t>Эпсол Раствор для инфузий 12 мг/мл 50мл стеклянные флаконы</t>
  </si>
  <si>
    <t>Amantadine sulfate</t>
  </si>
  <si>
    <t>Ceftriaxone – 1000 mg + tazobactam – 125 mg (Ceftriaxone + tazobactam)</t>
  </si>
  <si>
    <t>Levofloxacin hemihydrate</t>
  </si>
  <si>
    <t>KMA (potassium hydroxide, magnesium oxide, L-aspartic acid)</t>
  </si>
  <si>
    <t>Polycresulene</t>
  </si>
  <si>
    <t>Tranexamic acid</t>
  </si>
  <si>
    <t>Iron(III) (sucrose hydroxide complex Ferrum 3 – 100 mg)</t>
  </si>
  <si>
    <t>Combination drug: (xylitol, sodium chloride, potassium chloride, calcium chloride, magnesium chloride, sodium acetate.)</t>
  </si>
  <si>
    <t>sulbactam + cefoperazone</t>
  </si>
  <si>
    <t>Arginine + levocarnitine + citicoline</t>
  </si>
  <si>
    <t>Fructose-1,6-sodium diphosphate</t>
  </si>
  <si>
    <t>Thioctic acid</t>
  </si>
  <si>
    <t>Pentoxifilinе</t>
  </si>
  <si>
    <t>Citicoline</t>
  </si>
  <si>
    <t xml:space="preserve"> Ofloxacinе</t>
  </si>
  <si>
    <t>L-arginine</t>
  </si>
  <si>
    <t>Levofloxacin</t>
  </si>
  <si>
    <t>Мeldonium</t>
  </si>
  <si>
    <t>Sorbitol, sodium lactate, sodium chloride,
potassium chloride, calcium chloride, magnesium chloride</t>
  </si>
  <si>
    <t xml:space="preserve"> L-arginine + Levocarnitine</t>
  </si>
  <si>
    <t>Methylethylpiridinol succinate</t>
  </si>
  <si>
    <t>Акваципро-Д гл. капли №1</t>
  </si>
  <si>
    <t>Ciprofloxacin + Dexamethasone</t>
  </si>
  <si>
    <t>Ландиос Раствор для инфузий 100мл стеклянные флаконы</t>
  </si>
  <si>
    <t>ком.лек (лизин + эсцин)</t>
  </si>
  <si>
    <t>Прайс-лист на 01.11.2025</t>
  </si>
  <si>
    <t>Рогинолит р-р. для инф 100 мл №1</t>
  </si>
  <si>
    <t>Экситен р-р. для инф 100 мл Nº1</t>
  </si>
  <si>
    <t>Экситен р-р. для инф 200 мл Nº1</t>
  </si>
  <si>
    <t>Ангисем р-р. для инф   250 мл №1</t>
  </si>
  <si>
    <t>Броникс р-р для инъек. 100мг/5мл №5</t>
  </si>
  <si>
    <t>Бронь</t>
  </si>
  <si>
    <t>Страна</t>
  </si>
  <si>
    <t>Индия</t>
  </si>
  <si>
    <t>Узбекистан</t>
  </si>
  <si>
    <t>Meglumine</t>
  </si>
  <si>
    <t xml:space="preserve">East African Overseases </t>
  </si>
  <si>
    <t xml:space="preserve">СП ООО "Reka Med Farm" </t>
  </si>
  <si>
    <t xml:space="preserve">ООО "Temur Med Farm" </t>
  </si>
  <si>
    <t>ALWIN DMD PHARMACEUTICALS</t>
  </si>
  <si>
    <t>Iron Hydroxide Polymaltosate</t>
  </si>
  <si>
    <t>Китай</t>
  </si>
  <si>
    <t xml:space="preserve">Co., Ltd. Wuhan Fuxing Biological Pharmaceutical </t>
  </si>
  <si>
    <t>Беларусь</t>
  </si>
  <si>
    <t xml:space="preserve">MSME Synapse Pharmatech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</si>
</sst>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_-;\-* #,##0_-;_-* &quot;-&quot;_-;_-@_-"/>
    <numFmt numFmtId="165" formatCode="_-* #,##0.00_-;\-* #,##0.00_-;_-* &quot;-&quot;??_-;_-@_-"/>
    <numFmt numFmtId="166" formatCode="_-* #,##0_р_._-;\-* #,##0_р_._-;_-* &quot;-&quot;_р_._-;_-@_-"/>
    <numFmt numFmtId="167" formatCode="_-* #,##0.00_р_._-;\-* #,##0.00_р_._-;_-* &quot;-&quot;??_р_._-;_-@_-"/>
    <numFmt numFmtId="168" formatCode="_-* #,##0_р_._-;\-* #,##0_р_._-;_-* &quot;-&quot;??_р_._-;_-@_-"/>
  </numFmts>
  <fonts count="23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20"/>
      <color indexed="8"/>
      <name val="Times New Roman"/>
      <family val="1"/>
      <charset val="204"/>
    </font>
    <font>
      <b/>
      <sz val="20"/>
      <color indexed="8"/>
      <name val="Times New Roman"/>
      <family val="1"/>
      <charset val="204"/>
    </font>
    <font>
      <u/>
      <sz val="11"/>
      <color theme="11"/>
      <name val="Calibri"/>
      <family val="2"/>
      <charset val="204"/>
      <scheme val="minor"/>
    </font>
    <font>
      <u/>
      <sz val="11"/>
      <color theme="10"/>
      <name val="Calibri"/>
      <family val="2"/>
      <charset val="204"/>
      <scheme val="minor"/>
    </font>
    <font>
      <sz val="8"/>
      <name val="Arial"/>
      <family val="2"/>
      <charset val="204"/>
    </font>
    <font>
      <sz val="8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0"/>
      <name val="Arial Cyr"/>
      <family val="2"/>
      <charset val="204"/>
    </font>
    <font>
      <sz val="10"/>
      <name val="Arial"/>
      <family val="2"/>
      <charset val="204"/>
    </font>
    <font>
      <b/>
      <sz val="20"/>
      <color indexed="8"/>
      <name val="Arial"/>
      <family val="2"/>
    </font>
    <font>
      <b/>
      <sz val="40"/>
      <color rgb="FF0B0BB5"/>
      <name val="Arial"/>
      <family val="2"/>
    </font>
    <font>
      <b/>
      <sz val="20"/>
      <color indexed="8"/>
      <name val="Times New Roman"/>
      <family val="1"/>
    </font>
    <font>
      <b/>
      <sz val="10"/>
      <color indexed="8"/>
      <name val="Arial"/>
      <family val="2"/>
    </font>
    <font>
      <b/>
      <sz val="15"/>
      <color theme="0"/>
      <name val="Arial"/>
      <family val="2"/>
    </font>
    <font>
      <b/>
      <sz val="18"/>
      <color theme="0"/>
      <name val="Arial"/>
      <family val="2"/>
    </font>
    <font>
      <b/>
      <sz val="15"/>
      <name val="Times New Roman"/>
      <family val="1"/>
      <charset val="204"/>
    </font>
    <font>
      <b/>
      <sz val="15"/>
      <color rgb="FF000000"/>
      <name val="Times New Roman"/>
      <family val="1"/>
      <charset val="204"/>
    </font>
    <font>
      <b/>
      <sz val="36"/>
      <color theme="3"/>
      <name val="Times New Roman"/>
      <family val="1"/>
      <charset val="204"/>
    </font>
    <font>
      <b/>
      <sz val="48"/>
      <color theme="5" tint="-0.249977111117893"/>
      <name val="Times New Roman"/>
      <family val="1"/>
    </font>
    <font>
      <b/>
      <sz val="20"/>
      <name val="Times New Roman"/>
      <family val="1"/>
    </font>
    <font>
      <b/>
      <sz val="20"/>
      <color theme="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36">
    <xf numFmtId="0" fontId="0" fillId="0" borderId="0"/>
    <xf numFmtId="167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>
      <alignment horizontal="left"/>
    </xf>
    <xf numFmtId="0" fontId="8" fillId="0" borderId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9" fillId="0" borderId="0"/>
    <xf numFmtId="0" fontId="10" fillId="0" borderId="0"/>
    <xf numFmtId="166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</cellStyleXfs>
  <cellXfs count="36">
    <xf numFmtId="0" fontId="0" fillId="0" borderId="0" xfId="0"/>
    <xf numFmtId="0" fontId="2" fillId="0" borderId="0" xfId="0" applyFont="1" applyAlignment="1">
      <alignment horizontal="center" vertical="center"/>
    </xf>
    <xf numFmtId="168" fontId="3" fillId="0" borderId="0" xfId="1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68" fontId="3" fillId="0" borderId="0" xfId="1" applyNumberFormat="1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168" fontId="12" fillId="0" borderId="0" xfId="1" applyNumberFormat="1" applyFont="1" applyFill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 wrapText="1"/>
    </xf>
    <xf numFmtId="0" fontId="11" fillId="0" borderId="0" xfId="0" applyFont="1" applyAlignment="1">
      <alignment horizontal="left" vertical="center" wrapText="1"/>
    </xf>
    <xf numFmtId="0" fontId="3" fillId="0" borderId="0" xfId="0" applyFont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167" fontId="2" fillId="0" borderId="0" xfId="1" applyFont="1" applyAlignment="1">
      <alignment horizontal="center" vertical="center"/>
    </xf>
    <xf numFmtId="167" fontId="2" fillId="0" borderId="0" xfId="1" applyFont="1" applyAlignment="1">
      <alignment horizontal="center" vertical="center" wrapText="1"/>
    </xf>
    <xf numFmtId="0" fontId="15" fillId="0" borderId="0" xfId="1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 wrapText="1"/>
    </xf>
    <xf numFmtId="0" fontId="20" fillId="0" borderId="0" xfId="0" applyFont="1" applyAlignment="1">
      <alignment vertical="center"/>
    </xf>
    <xf numFmtId="0" fontId="19" fillId="0" borderId="0" xfId="0" applyFont="1" applyAlignment="1">
      <alignment vertical="center"/>
    </xf>
    <xf numFmtId="0" fontId="21" fillId="3" borderId="1" xfId="0" applyFont="1" applyFill="1" applyBorder="1" applyAlignment="1">
      <alignment horizontal="center" vertical="center" wrapText="1"/>
    </xf>
    <xf numFmtId="168" fontId="21" fillId="3" borderId="1" xfId="1" applyNumberFormat="1" applyFont="1" applyFill="1" applyBorder="1" applyAlignment="1">
      <alignment horizontal="center" vertical="center" wrapText="1"/>
    </xf>
    <xf numFmtId="14" fontId="22" fillId="3" borderId="1" xfId="0" applyNumberFormat="1" applyFont="1" applyFill="1" applyBorder="1" applyAlignment="1">
      <alignment horizontal="center" vertical="center" wrapText="1"/>
    </xf>
    <xf numFmtId="14" fontId="18" fillId="0" borderId="0" xfId="0" applyNumberFormat="1" applyFont="1" applyAlignment="1">
      <alignment horizontal="center" vertical="center" wrapText="1"/>
    </xf>
    <xf numFmtId="0" fontId="17" fillId="2" borderId="1" xfId="0" applyFont="1" applyFill="1" applyBorder="1" applyAlignment="1">
      <alignment horizontal="center" vertical="center" wrapText="1"/>
    </xf>
    <xf numFmtId="3" fontId="17" fillId="0" borderId="1" xfId="0" applyNumberFormat="1" applyFont="1" applyBorder="1" applyAlignment="1">
      <alignment horizontal="left" vertical="center" wrapText="1"/>
    </xf>
    <xf numFmtId="0" fontId="17" fillId="0" borderId="1" xfId="0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3" fontId="17" fillId="0" borderId="1" xfId="8" applyNumberFormat="1" applyFont="1" applyFill="1" applyBorder="1" applyAlignment="1">
      <alignment horizontal="center" vertical="center" wrapText="1"/>
    </xf>
    <xf numFmtId="14" fontId="18" fillId="0" borderId="1" xfId="0" applyNumberFormat="1" applyFont="1" applyBorder="1" applyAlignment="1">
      <alignment horizontal="center" vertical="center" wrapText="1"/>
    </xf>
    <xf numFmtId="3" fontId="17" fillId="0" borderId="1" xfId="0" applyNumberFormat="1" applyFont="1" applyBorder="1" applyAlignment="1">
      <alignment horizontal="left" vertical="top" wrapText="1"/>
    </xf>
    <xf numFmtId="0" fontId="19" fillId="0" borderId="0" xfId="0" applyFont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left" vertical="center" wrapText="1"/>
    </xf>
    <xf numFmtId="0" fontId="20" fillId="0" borderId="0" xfId="0" applyFont="1" applyAlignment="1">
      <alignment horizontal="center" vertical="center"/>
    </xf>
  </cellXfs>
  <cellStyles count="36">
    <cellStyle name="40% - Акцент4 49" xfId="12" xr:uid="{00000000-0005-0000-0000-000000000000}"/>
    <cellStyle name="Comma" xfId="1" builtinId="3"/>
    <cellStyle name="Excel Built-in Normal" xfId="11" xr:uid="{00000000-0005-0000-0000-000001000000}"/>
    <cellStyle name="Followed Hyperlink" xfId="2" builtinId="9" hidden="1"/>
    <cellStyle name="Followed Hyperlink" xfId="4" builtinId="9" hidden="1"/>
    <cellStyle name="Hyperlink" xfId="3" builtinId="8" hidden="1"/>
    <cellStyle name="Hyperlink" xfId="5" builtinId="8" hidden="1"/>
    <cellStyle name="Normal" xfId="0" builtinId="0"/>
    <cellStyle name="Обычный 2" xfId="6" xr:uid="{00000000-0005-0000-0000-000005000000}"/>
    <cellStyle name="Обычный 3" xfId="7" xr:uid="{00000000-0005-0000-0000-000006000000}"/>
    <cellStyle name="Процентный 2" xfId="10" xr:uid="{00000000-0005-0000-0000-000009000000}"/>
    <cellStyle name="Финансовый [0] 2" xfId="13" xr:uid="{00000000-0005-0000-0000-00000B000000}"/>
    <cellStyle name="Финансовый [0] 3" xfId="9" xr:uid="{00000000-0005-0000-0000-00000C000000}"/>
    <cellStyle name="Финансовый [0] 3 2" xfId="16" xr:uid="{00000000-0005-0000-0000-00000D000000}"/>
    <cellStyle name="Финансовый [0] 3 2 2" xfId="22" xr:uid="{00000000-0005-0000-0000-00000E000000}"/>
    <cellStyle name="Финансовый [0] 3 2 3" xfId="28" xr:uid="{00000000-0005-0000-0000-00000F000000}"/>
    <cellStyle name="Финансовый [0] 3 2 4" xfId="34" xr:uid="{00000000-0005-0000-0000-000010000000}"/>
    <cellStyle name="Финансовый [0] 3 3" xfId="19" xr:uid="{00000000-0005-0000-0000-000011000000}"/>
    <cellStyle name="Финансовый [0] 3 4" xfId="25" xr:uid="{00000000-0005-0000-0000-000012000000}"/>
    <cellStyle name="Финансовый [0] 3 5" xfId="31" xr:uid="{00000000-0005-0000-0000-000013000000}"/>
    <cellStyle name="Финансовый 2" xfId="8" xr:uid="{00000000-0005-0000-0000-000014000000}"/>
    <cellStyle name="Финансовый 2 2" xfId="15" xr:uid="{00000000-0005-0000-0000-000015000000}"/>
    <cellStyle name="Финансовый 2 2 2" xfId="21" xr:uid="{00000000-0005-0000-0000-000016000000}"/>
    <cellStyle name="Финансовый 2 2 3" xfId="27" xr:uid="{00000000-0005-0000-0000-000017000000}"/>
    <cellStyle name="Финансовый 2 2 4" xfId="33" xr:uid="{00000000-0005-0000-0000-000018000000}"/>
    <cellStyle name="Финансовый 2 3" xfId="18" xr:uid="{00000000-0005-0000-0000-000019000000}"/>
    <cellStyle name="Финансовый 2 4" xfId="24" xr:uid="{00000000-0005-0000-0000-00001A000000}"/>
    <cellStyle name="Финансовый 2 5" xfId="30" xr:uid="{00000000-0005-0000-0000-00001B000000}"/>
    <cellStyle name="Финансовый 3" xfId="14" xr:uid="{00000000-0005-0000-0000-00001C000000}"/>
    <cellStyle name="Финансовый 3 2" xfId="17" xr:uid="{00000000-0005-0000-0000-00001D000000}"/>
    <cellStyle name="Финансовый 3 2 2" xfId="23" xr:uid="{00000000-0005-0000-0000-00001E000000}"/>
    <cellStyle name="Финансовый 3 2 3" xfId="29" xr:uid="{00000000-0005-0000-0000-00001F000000}"/>
    <cellStyle name="Финансовый 3 2 4" xfId="35" xr:uid="{00000000-0005-0000-0000-000020000000}"/>
    <cellStyle name="Финансовый 3 3" xfId="20" xr:uid="{00000000-0005-0000-0000-000021000000}"/>
    <cellStyle name="Финансовый 3 4" xfId="26" xr:uid="{00000000-0005-0000-0000-000022000000}"/>
    <cellStyle name="Финансовый 3 5" xfId="32" xr:uid="{00000000-0005-0000-0000-00002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50161</xdr:colOff>
      <xdr:row>1</xdr:row>
      <xdr:rowOff>325277</xdr:rowOff>
    </xdr:from>
    <xdr:to>
      <xdr:col>3</xdr:col>
      <xdr:colOff>28433</xdr:colOff>
      <xdr:row>7</xdr:row>
      <xdr:rowOff>230263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70BB034A-FEAA-5AF5-896C-A1BD1A9A79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47251" y="652255"/>
          <a:ext cx="4499092" cy="2591889"/>
        </a:xfrm>
        <a:prstGeom prst="rect">
          <a:avLst/>
        </a:prstGeom>
      </xdr:spPr>
    </xdr:pic>
    <xdr:clientData/>
  </xdr:twoCellAnchor>
  <xdr:twoCellAnchor editAs="oneCell">
    <xdr:from>
      <xdr:col>9</xdr:col>
      <xdr:colOff>2246195</xdr:colOff>
      <xdr:row>1</xdr:row>
      <xdr:rowOff>284328</xdr:rowOff>
    </xdr:from>
    <xdr:to>
      <xdr:col>10</xdr:col>
      <xdr:colOff>1271965</xdr:colOff>
      <xdr:row>7</xdr:row>
      <xdr:rowOff>189314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75AE8E26-6613-415A-81B4-6B15187EBF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647426" y="611306"/>
          <a:ext cx="4499092" cy="259188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autoPageBreaks="0" fitToPage="1"/>
  </sheetPr>
  <dimension ref="A3:M51"/>
  <sheetViews>
    <sheetView tabSelected="1" topLeftCell="A17" zoomScale="91" zoomScaleNormal="70" zoomScalePageLayoutView="40" workbookViewId="0">
      <selection activeCell="I18" sqref="I18"/>
    </sheetView>
  </sheetViews>
  <sheetFormatPr baseColWidth="10" defaultColWidth="8.83203125" defaultRowHeight="25"/>
  <cols>
    <col min="1" max="1" width="12" style="1" customWidth="1"/>
    <col min="2" max="2" width="5.5" style="7" customWidth="1"/>
    <col min="3" max="3" width="62.5" style="10" customWidth="1"/>
    <col min="4" max="4" width="11.5" style="3" customWidth="1"/>
    <col min="5" max="5" width="81" style="12" customWidth="1"/>
    <col min="6" max="7" width="18.5" style="4" customWidth="1"/>
    <col min="8" max="8" width="13.6640625" style="4" customWidth="1"/>
    <col min="9" max="9" width="14.5" style="4" customWidth="1"/>
    <col min="10" max="10" width="82" style="3" customWidth="1"/>
    <col min="11" max="11" width="20.6640625" style="3" customWidth="1"/>
    <col min="12" max="12" width="8.83203125" style="1"/>
    <col min="13" max="13" width="33.6640625" style="14" customWidth="1"/>
    <col min="14" max="14" width="26" style="1" bestFit="1" customWidth="1"/>
    <col min="15" max="16384" width="8.83203125" style="1"/>
  </cols>
  <sheetData>
    <row r="3" spans="1:13">
      <c r="F3" s="2"/>
      <c r="G3" s="2"/>
      <c r="H3" s="2"/>
      <c r="I3" s="2"/>
    </row>
    <row r="4" spans="1:13" ht="36" customHeight="1">
      <c r="F4" s="2"/>
      <c r="G4" s="2"/>
      <c r="H4" s="2"/>
      <c r="I4" s="2"/>
    </row>
    <row r="5" spans="1:13">
      <c r="F5" s="2"/>
      <c r="G5" s="2"/>
      <c r="H5" s="2"/>
      <c r="I5" s="2"/>
    </row>
    <row r="6" spans="1:13" ht="49" customHeight="1">
      <c r="B6" s="18"/>
      <c r="C6" s="35" t="s">
        <v>9</v>
      </c>
      <c r="D6" s="35"/>
      <c r="E6" s="35"/>
      <c r="F6" s="35"/>
      <c r="G6" s="35"/>
      <c r="H6" s="35"/>
      <c r="I6" s="35"/>
      <c r="J6" s="35"/>
      <c r="K6" s="18"/>
    </row>
    <row r="7" spans="1:13" ht="49" customHeight="1">
      <c r="B7" s="19"/>
      <c r="C7" s="19"/>
      <c r="D7" s="33" t="s">
        <v>70</v>
      </c>
      <c r="E7" s="33"/>
      <c r="F7" s="33"/>
      <c r="G7" s="33"/>
      <c r="H7" s="33"/>
      <c r="I7" s="31"/>
      <c r="J7" s="19"/>
      <c r="K7" s="19"/>
    </row>
    <row r="8" spans="1:13" ht="24.75" customHeight="1">
      <c r="B8" s="9"/>
      <c r="C8" s="11"/>
      <c r="D8" s="5"/>
      <c r="E8" s="13"/>
      <c r="F8" s="6"/>
      <c r="G8" s="16">
        <v>15</v>
      </c>
      <c r="H8" s="16"/>
      <c r="I8" s="16"/>
      <c r="J8" s="32" t="s">
        <v>11</v>
      </c>
      <c r="K8" s="32"/>
    </row>
    <row r="9" spans="1:13" ht="83.25" customHeight="1">
      <c r="A9" s="20" t="s">
        <v>76</v>
      </c>
      <c r="B9" s="20" t="s">
        <v>4</v>
      </c>
      <c r="C9" s="20" t="s">
        <v>3</v>
      </c>
      <c r="D9" s="20" t="s">
        <v>28</v>
      </c>
      <c r="E9" s="20" t="s">
        <v>0</v>
      </c>
      <c r="F9" s="21" t="s">
        <v>1</v>
      </c>
      <c r="G9" s="21" t="s">
        <v>10</v>
      </c>
      <c r="H9" s="21" t="s">
        <v>12</v>
      </c>
      <c r="I9" s="22" t="s">
        <v>39</v>
      </c>
      <c r="J9" s="20" t="s">
        <v>2</v>
      </c>
      <c r="K9" s="22" t="s">
        <v>77</v>
      </c>
    </row>
    <row r="10" spans="1:13" ht="48" customHeight="1">
      <c r="B10" s="24">
        <v>1</v>
      </c>
      <c r="C10" s="25" t="s">
        <v>66</v>
      </c>
      <c r="D10" s="26">
        <v>500</v>
      </c>
      <c r="E10" s="27" t="s">
        <v>67</v>
      </c>
      <c r="F10" s="28">
        <v>34982</v>
      </c>
      <c r="G10" s="28">
        <f>F10*(1.14)</f>
        <v>39879.479999999996</v>
      </c>
      <c r="H10" s="28">
        <f t="shared" ref="H10" si="0">+G10*1.12</f>
        <v>44665.017599999999</v>
      </c>
      <c r="I10" s="29">
        <v>46569</v>
      </c>
      <c r="J10" s="26" t="s">
        <v>81</v>
      </c>
      <c r="K10" s="29" t="s">
        <v>78</v>
      </c>
    </row>
    <row r="11" spans="1:13" s="8" customFormat="1" ht="48" customHeight="1">
      <c r="B11" s="24">
        <v>2</v>
      </c>
      <c r="C11" s="25" t="s">
        <v>15</v>
      </c>
      <c r="D11" s="26">
        <v>28</v>
      </c>
      <c r="E11" s="27" t="s">
        <v>45</v>
      </c>
      <c r="F11" s="28">
        <v>95400</v>
      </c>
      <c r="G11" s="28">
        <f t="shared" ref="G11:G40" si="1">F11*(1+$G$8%)</f>
        <v>109709.99999999999</v>
      </c>
      <c r="H11" s="28">
        <f>+G11*1.12</f>
        <v>122875.2</v>
      </c>
      <c r="I11" s="29">
        <v>46388</v>
      </c>
      <c r="J11" s="26" t="s">
        <v>82</v>
      </c>
      <c r="K11" s="29" t="s">
        <v>79</v>
      </c>
      <c r="M11" s="15"/>
    </row>
    <row r="12" spans="1:13" ht="47" customHeight="1">
      <c r="B12" s="24">
        <v>3</v>
      </c>
      <c r="C12" s="25" t="s">
        <v>16</v>
      </c>
      <c r="D12" s="26">
        <v>28</v>
      </c>
      <c r="E12" s="27" t="s">
        <v>57</v>
      </c>
      <c r="F12" s="28">
        <v>37000</v>
      </c>
      <c r="G12" s="28">
        <f t="shared" si="1"/>
        <v>42550</v>
      </c>
      <c r="H12" s="28">
        <f t="shared" ref="H12:H41" si="2">+G12*1.12</f>
        <v>47656.000000000007</v>
      </c>
      <c r="I12" s="29">
        <v>46296</v>
      </c>
      <c r="J12" s="26" t="s">
        <v>82</v>
      </c>
      <c r="K12" s="29" t="s">
        <v>79</v>
      </c>
    </row>
    <row r="13" spans="1:13" ht="47" customHeight="1">
      <c r="B13" s="24">
        <v>4</v>
      </c>
      <c r="C13" s="25" t="s">
        <v>35</v>
      </c>
      <c r="D13" s="26">
        <v>40</v>
      </c>
      <c r="E13" s="27" t="s">
        <v>57</v>
      </c>
      <c r="F13" s="28">
        <v>38000</v>
      </c>
      <c r="G13" s="28">
        <f t="shared" si="1"/>
        <v>43700</v>
      </c>
      <c r="H13" s="28">
        <f t="shared" si="2"/>
        <v>48944.000000000007</v>
      </c>
      <c r="I13" s="29">
        <v>46357</v>
      </c>
      <c r="J13" s="26" t="s">
        <v>6</v>
      </c>
      <c r="K13" s="29" t="s">
        <v>79</v>
      </c>
    </row>
    <row r="14" spans="1:13" ht="47" customHeight="1">
      <c r="B14" s="24">
        <v>5</v>
      </c>
      <c r="C14" s="25" t="s">
        <v>74</v>
      </c>
      <c r="D14" s="26">
        <v>40</v>
      </c>
      <c r="E14" s="27" t="s">
        <v>57</v>
      </c>
      <c r="F14" s="28">
        <v>43000</v>
      </c>
      <c r="G14" s="28">
        <f t="shared" si="1"/>
        <v>49449.999999999993</v>
      </c>
      <c r="H14" s="28">
        <f t="shared" si="2"/>
        <v>55384</v>
      </c>
      <c r="I14" s="29">
        <v>46447</v>
      </c>
      <c r="J14" s="26" t="s">
        <v>6</v>
      </c>
      <c r="K14" s="29" t="s">
        <v>79</v>
      </c>
    </row>
    <row r="15" spans="1:13" ht="47" customHeight="1">
      <c r="B15" s="24">
        <v>6</v>
      </c>
      <c r="C15" s="25" t="s">
        <v>17</v>
      </c>
      <c r="D15" s="26">
        <v>48</v>
      </c>
      <c r="E15" s="27" t="s">
        <v>58</v>
      </c>
      <c r="F15" s="28">
        <v>55000</v>
      </c>
      <c r="G15" s="28">
        <f t="shared" si="1"/>
        <v>63249.999999999993</v>
      </c>
      <c r="H15" s="28">
        <f t="shared" si="2"/>
        <v>70840</v>
      </c>
      <c r="I15" s="29">
        <v>46661</v>
      </c>
      <c r="J15" s="26" t="s">
        <v>82</v>
      </c>
      <c r="K15" s="29" t="s">
        <v>79</v>
      </c>
    </row>
    <row r="16" spans="1:13" ht="47" customHeight="1">
      <c r="B16" s="24">
        <v>7</v>
      </c>
      <c r="C16" s="25" t="s">
        <v>29</v>
      </c>
      <c r="D16" s="26">
        <v>40</v>
      </c>
      <c r="E16" s="27" t="s">
        <v>59</v>
      </c>
      <c r="F16" s="28">
        <v>26500</v>
      </c>
      <c r="G16" s="28">
        <f t="shared" si="1"/>
        <v>30474.999999999996</v>
      </c>
      <c r="H16" s="28">
        <f t="shared" si="2"/>
        <v>34132</v>
      </c>
      <c r="I16" s="29">
        <v>46023</v>
      </c>
      <c r="J16" s="26" t="s">
        <v>6</v>
      </c>
      <c r="K16" s="29" t="s">
        <v>79</v>
      </c>
    </row>
    <row r="17" spans="2:11" ht="47" customHeight="1">
      <c r="B17" s="24">
        <v>8</v>
      </c>
      <c r="C17" s="25" t="s">
        <v>75</v>
      </c>
      <c r="D17" s="26"/>
      <c r="E17" s="27" t="s">
        <v>85</v>
      </c>
      <c r="F17" s="28">
        <v>194200</v>
      </c>
      <c r="G17" s="28">
        <f t="shared" ref="G17" si="3">F17*(1+$G$8%)</f>
        <v>223329.99999999997</v>
      </c>
      <c r="H17" s="28">
        <f t="shared" ref="H17" si="4">+G17*1.12</f>
        <v>250129.59999999998</v>
      </c>
      <c r="I17" s="29">
        <v>46388</v>
      </c>
      <c r="J17" s="26" t="s">
        <v>84</v>
      </c>
      <c r="K17" s="29" t="s">
        <v>78</v>
      </c>
    </row>
    <row r="18" spans="2:11" ht="47" customHeight="1">
      <c r="B18" s="24">
        <v>9</v>
      </c>
      <c r="C18" s="25" t="s">
        <v>18</v>
      </c>
      <c r="D18" s="26">
        <v>40</v>
      </c>
      <c r="E18" s="27" t="s">
        <v>64</v>
      </c>
      <c r="F18" s="28">
        <v>55000</v>
      </c>
      <c r="G18" s="28">
        <f t="shared" si="1"/>
        <v>63249.999999999993</v>
      </c>
      <c r="H18" s="28">
        <f t="shared" si="2"/>
        <v>70840</v>
      </c>
      <c r="I18" s="29">
        <v>46357</v>
      </c>
      <c r="J18" s="26" t="s">
        <v>6</v>
      </c>
      <c r="K18" s="29" t="s">
        <v>79</v>
      </c>
    </row>
    <row r="19" spans="2:11" ht="47" customHeight="1">
      <c r="B19" s="24">
        <v>10</v>
      </c>
      <c r="C19" s="25" t="s">
        <v>19</v>
      </c>
      <c r="D19" s="26">
        <v>240</v>
      </c>
      <c r="E19" s="27" t="s">
        <v>46</v>
      </c>
      <c r="F19" s="28">
        <v>45000</v>
      </c>
      <c r="G19" s="28">
        <f t="shared" si="1"/>
        <v>51749.999999999993</v>
      </c>
      <c r="H19" s="28">
        <f t="shared" si="2"/>
        <v>57960</v>
      </c>
      <c r="I19" s="29">
        <v>46296</v>
      </c>
      <c r="J19" s="26" t="s">
        <v>8</v>
      </c>
      <c r="K19" s="29" t="s">
        <v>78</v>
      </c>
    </row>
    <row r="20" spans="2:11" ht="47" customHeight="1">
      <c r="B20" s="24">
        <v>11</v>
      </c>
      <c r="C20" s="25" t="s">
        <v>20</v>
      </c>
      <c r="D20" s="26">
        <v>400</v>
      </c>
      <c r="E20" s="27" t="s">
        <v>47</v>
      </c>
      <c r="F20" s="28">
        <v>41000</v>
      </c>
      <c r="G20" s="28">
        <f t="shared" si="1"/>
        <v>47149.999999999993</v>
      </c>
      <c r="H20" s="28">
        <f t="shared" si="2"/>
        <v>52808</v>
      </c>
      <c r="I20" s="29">
        <v>46539</v>
      </c>
      <c r="J20" s="26" t="s">
        <v>13</v>
      </c>
      <c r="K20" s="29" t="s">
        <v>78</v>
      </c>
    </row>
    <row r="21" spans="2:11" ht="47" customHeight="1">
      <c r="B21" s="24">
        <v>12</v>
      </c>
      <c r="C21" s="25" t="s">
        <v>38</v>
      </c>
      <c r="D21" s="26">
        <v>40</v>
      </c>
      <c r="E21" s="27" t="s">
        <v>48</v>
      </c>
      <c r="F21" s="28">
        <v>37000</v>
      </c>
      <c r="G21" s="28">
        <f t="shared" si="1"/>
        <v>42550</v>
      </c>
      <c r="H21" s="28">
        <f t="shared" si="2"/>
        <v>47656.000000000007</v>
      </c>
      <c r="I21" s="29">
        <v>46327</v>
      </c>
      <c r="J21" s="26" t="s">
        <v>6</v>
      </c>
      <c r="K21" s="29" t="s">
        <v>79</v>
      </c>
    </row>
    <row r="22" spans="2:11" ht="47" customHeight="1">
      <c r="B22" s="24">
        <v>13</v>
      </c>
      <c r="C22" s="25" t="s">
        <v>68</v>
      </c>
      <c r="D22" s="26">
        <v>40</v>
      </c>
      <c r="E22" s="27" t="s">
        <v>69</v>
      </c>
      <c r="F22" s="28">
        <v>64700</v>
      </c>
      <c r="G22" s="28">
        <f t="shared" si="1"/>
        <v>74405</v>
      </c>
      <c r="H22" s="28">
        <f t="shared" si="2"/>
        <v>83333.600000000006</v>
      </c>
      <c r="I22" s="29">
        <v>46600</v>
      </c>
      <c r="J22" s="26" t="s">
        <v>83</v>
      </c>
      <c r="K22" s="29" t="s">
        <v>79</v>
      </c>
    </row>
    <row r="23" spans="2:11" ht="47" customHeight="1">
      <c r="B23" s="24">
        <v>14</v>
      </c>
      <c r="C23" s="25" t="s">
        <v>30</v>
      </c>
      <c r="D23" s="26">
        <v>135</v>
      </c>
      <c r="E23" s="27" t="s">
        <v>49</v>
      </c>
      <c r="F23" s="28">
        <v>84000</v>
      </c>
      <c r="G23" s="28">
        <f t="shared" si="1"/>
        <v>96599.999999999985</v>
      </c>
      <c r="H23" s="28">
        <f t="shared" si="2"/>
        <v>108192</v>
      </c>
      <c r="I23" s="29">
        <v>46204</v>
      </c>
      <c r="J23" s="26" t="s">
        <v>31</v>
      </c>
      <c r="K23" s="29" t="s">
        <v>86</v>
      </c>
    </row>
    <row r="24" spans="2:11" ht="47" customHeight="1">
      <c r="B24" s="24">
        <v>15</v>
      </c>
      <c r="C24" s="25" t="s">
        <v>32</v>
      </c>
      <c r="D24" s="26">
        <v>64</v>
      </c>
      <c r="E24" s="27" t="s">
        <v>65</v>
      </c>
      <c r="F24" s="28">
        <v>122650</v>
      </c>
      <c r="G24" s="28">
        <f t="shared" si="1"/>
        <v>141047.5</v>
      </c>
      <c r="H24" s="28">
        <f t="shared" si="2"/>
        <v>157973.20000000001</v>
      </c>
      <c r="I24" s="29">
        <v>46143</v>
      </c>
      <c r="J24" s="26" t="s">
        <v>33</v>
      </c>
      <c r="K24" s="29" t="s">
        <v>88</v>
      </c>
    </row>
    <row r="25" spans="2:11" ht="47" customHeight="1">
      <c r="B25" s="24">
        <v>16</v>
      </c>
      <c r="C25" s="25" t="s">
        <v>42</v>
      </c>
      <c r="D25" s="26">
        <v>50</v>
      </c>
      <c r="E25" s="27" t="s">
        <v>54</v>
      </c>
      <c r="F25" s="28">
        <v>90000</v>
      </c>
      <c r="G25" s="28">
        <f t="shared" si="1"/>
        <v>103499.99999999999</v>
      </c>
      <c r="H25" s="28">
        <f t="shared" si="2"/>
        <v>115920</v>
      </c>
      <c r="I25" s="29">
        <v>46600</v>
      </c>
      <c r="J25" s="26" t="s">
        <v>83</v>
      </c>
      <c r="K25" s="29" t="s">
        <v>79</v>
      </c>
    </row>
    <row r="26" spans="2:11" ht="47" customHeight="1">
      <c r="B26" s="24">
        <v>17</v>
      </c>
      <c r="C26" s="25" t="s">
        <v>34</v>
      </c>
      <c r="D26" s="26">
        <v>40</v>
      </c>
      <c r="E26" s="27" t="s">
        <v>60</v>
      </c>
      <c r="F26" s="28">
        <v>44588</v>
      </c>
      <c r="G26" s="28">
        <f t="shared" si="1"/>
        <v>51276.2</v>
      </c>
      <c r="H26" s="28">
        <f t="shared" si="2"/>
        <v>57429.344000000005</v>
      </c>
      <c r="I26" s="29">
        <v>46296</v>
      </c>
      <c r="J26" s="26" t="s">
        <v>6</v>
      </c>
      <c r="K26" s="29" t="s">
        <v>79</v>
      </c>
    </row>
    <row r="27" spans="2:11" ht="47" customHeight="1">
      <c r="B27" s="24">
        <v>18</v>
      </c>
      <c r="C27" s="25" t="s">
        <v>21</v>
      </c>
      <c r="D27" s="26">
        <v>60</v>
      </c>
      <c r="E27" s="27" t="s">
        <v>62</v>
      </c>
      <c r="F27" s="28">
        <v>40700</v>
      </c>
      <c r="G27" s="28">
        <f t="shared" si="1"/>
        <v>46805</v>
      </c>
      <c r="H27" s="28">
        <f t="shared" si="2"/>
        <v>52421.600000000006</v>
      </c>
      <c r="I27" s="29">
        <v>46296</v>
      </c>
      <c r="J27" s="26" t="s">
        <v>5</v>
      </c>
      <c r="K27" s="29" t="s">
        <v>79</v>
      </c>
    </row>
    <row r="28" spans="2:11" ht="47" customHeight="1">
      <c r="B28" s="24">
        <v>19</v>
      </c>
      <c r="C28" s="25" t="s">
        <v>71</v>
      </c>
      <c r="D28" s="26">
        <v>40</v>
      </c>
      <c r="E28" s="27" t="s">
        <v>63</v>
      </c>
      <c r="F28" s="28">
        <v>33500</v>
      </c>
      <c r="G28" s="28">
        <f t="shared" si="1"/>
        <v>38525</v>
      </c>
      <c r="H28" s="28">
        <f t="shared" si="2"/>
        <v>43148.000000000007</v>
      </c>
      <c r="I28" s="29">
        <v>46296</v>
      </c>
      <c r="J28" s="26" t="s">
        <v>6</v>
      </c>
      <c r="K28" s="29" t="s">
        <v>79</v>
      </c>
    </row>
    <row r="29" spans="2:11" ht="47" customHeight="1">
      <c r="B29" s="24">
        <v>20</v>
      </c>
      <c r="C29" s="25" t="s">
        <v>22</v>
      </c>
      <c r="D29" s="26">
        <v>20</v>
      </c>
      <c r="E29" s="27" t="s">
        <v>63</v>
      </c>
      <c r="F29" s="28">
        <v>40000</v>
      </c>
      <c r="G29" s="28">
        <f t="shared" si="1"/>
        <v>46000</v>
      </c>
      <c r="H29" s="28">
        <f t="shared" si="2"/>
        <v>51520.000000000007</v>
      </c>
      <c r="I29" s="29">
        <v>46296</v>
      </c>
      <c r="J29" s="26" t="s">
        <v>6</v>
      </c>
      <c r="K29" s="29" t="s">
        <v>79</v>
      </c>
    </row>
    <row r="30" spans="2:11" ht="47" customHeight="1">
      <c r="B30" s="24">
        <v>21</v>
      </c>
      <c r="C30" s="25" t="s">
        <v>37</v>
      </c>
      <c r="D30" s="26">
        <v>28</v>
      </c>
      <c r="E30" s="27" t="s">
        <v>63</v>
      </c>
      <c r="F30" s="28">
        <v>40000</v>
      </c>
      <c r="G30" s="28">
        <f t="shared" si="1"/>
        <v>46000</v>
      </c>
      <c r="H30" s="28">
        <f t="shared" si="2"/>
        <v>51520.000000000007</v>
      </c>
      <c r="I30" s="29">
        <v>46661</v>
      </c>
      <c r="J30" s="26" t="s">
        <v>82</v>
      </c>
      <c r="K30" s="29" t="s">
        <v>79</v>
      </c>
    </row>
    <row r="31" spans="2:11" ht="47" customHeight="1">
      <c r="B31" s="24">
        <v>22</v>
      </c>
      <c r="C31" s="30" t="s">
        <v>41</v>
      </c>
      <c r="D31" s="26">
        <v>200</v>
      </c>
      <c r="E31" s="27" t="s">
        <v>53</v>
      </c>
      <c r="F31" s="28">
        <v>44523.3</v>
      </c>
      <c r="G31" s="28">
        <f t="shared" si="1"/>
        <v>51201.794999999998</v>
      </c>
      <c r="H31" s="28">
        <f t="shared" si="2"/>
        <v>57346.010400000006</v>
      </c>
      <c r="I31" s="29">
        <v>46447</v>
      </c>
      <c r="J31" s="26" t="s">
        <v>89</v>
      </c>
      <c r="K31" s="29" t="s">
        <v>78</v>
      </c>
    </row>
    <row r="32" spans="2:11" ht="47" customHeight="1">
      <c r="B32" s="24">
        <v>23</v>
      </c>
      <c r="C32" s="25" t="s">
        <v>43</v>
      </c>
      <c r="D32" s="26">
        <v>40</v>
      </c>
      <c r="E32" s="27" t="s">
        <v>55</v>
      </c>
      <c r="F32" s="28">
        <v>120000</v>
      </c>
      <c r="G32" s="28">
        <f t="shared" si="1"/>
        <v>138000</v>
      </c>
      <c r="H32" s="28">
        <f t="shared" si="2"/>
        <v>154560.00000000003</v>
      </c>
      <c r="I32" s="29">
        <v>46600</v>
      </c>
      <c r="J32" s="26" t="s">
        <v>83</v>
      </c>
      <c r="K32" s="29" t="s">
        <v>79</v>
      </c>
    </row>
    <row r="33" spans="2:11" ht="47" customHeight="1">
      <c r="B33" s="24">
        <v>24</v>
      </c>
      <c r="C33" s="25" t="s">
        <v>26</v>
      </c>
      <c r="D33" s="26">
        <v>60</v>
      </c>
      <c r="E33" s="27" t="s">
        <v>50</v>
      </c>
      <c r="F33" s="28">
        <v>145000</v>
      </c>
      <c r="G33" s="28">
        <f>F33*(1.03)</f>
        <v>149350</v>
      </c>
      <c r="H33" s="28">
        <f t="shared" si="2"/>
        <v>167272.00000000003</v>
      </c>
      <c r="I33" s="29">
        <v>46419</v>
      </c>
      <c r="J33" s="26" t="s">
        <v>27</v>
      </c>
      <c r="K33" s="29"/>
    </row>
    <row r="34" spans="2:11" ht="47" customHeight="1">
      <c r="B34" s="24">
        <v>25</v>
      </c>
      <c r="C34" s="25" t="s">
        <v>23</v>
      </c>
      <c r="D34" s="26">
        <v>60</v>
      </c>
      <c r="E34" s="27" t="s">
        <v>51</v>
      </c>
      <c r="F34" s="28">
        <v>300000</v>
      </c>
      <c r="G34" s="28">
        <f t="shared" si="1"/>
        <v>345000</v>
      </c>
      <c r="H34" s="28">
        <f t="shared" si="2"/>
        <v>386400.00000000006</v>
      </c>
      <c r="I34" s="29">
        <v>46082</v>
      </c>
      <c r="J34" s="26" t="s">
        <v>7</v>
      </c>
      <c r="K34" s="29" t="s">
        <v>78</v>
      </c>
    </row>
    <row r="35" spans="2:11" ht="47" customHeight="1">
      <c r="B35" s="24">
        <v>26</v>
      </c>
      <c r="C35" s="25" t="s">
        <v>14</v>
      </c>
      <c r="D35" s="26">
        <v>48</v>
      </c>
      <c r="E35" s="27" t="s">
        <v>61</v>
      </c>
      <c r="F35" s="28">
        <v>40000</v>
      </c>
      <c r="G35" s="28">
        <f t="shared" si="1"/>
        <v>46000</v>
      </c>
      <c r="H35" s="28">
        <f t="shared" si="2"/>
        <v>51520.000000000007</v>
      </c>
      <c r="I35" s="29">
        <v>46569</v>
      </c>
      <c r="J35" s="26" t="s">
        <v>5</v>
      </c>
      <c r="K35" s="29" t="s">
        <v>79</v>
      </c>
    </row>
    <row r="36" spans="2:11" ht="47" customHeight="1">
      <c r="B36" s="24">
        <v>27</v>
      </c>
      <c r="C36" s="25" t="s">
        <v>24</v>
      </c>
      <c r="D36" s="26">
        <v>20</v>
      </c>
      <c r="E36" s="27" t="s">
        <v>52</v>
      </c>
      <c r="F36" s="28">
        <v>41800</v>
      </c>
      <c r="G36" s="28">
        <f t="shared" si="1"/>
        <v>48069.999999999993</v>
      </c>
      <c r="H36" s="28">
        <f t="shared" si="2"/>
        <v>53838.399999999994</v>
      </c>
      <c r="I36" s="29">
        <v>46296</v>
      </c>
      <c r="J36" s="26" t="s">
        <v>6</v>
      </c>
      <c r="K36" s="29" t="s">
        <v>79</v>
      </c>
    </row>
    <row r="37" spans="2:11" ht="47" customHeight="1">
      <c r="B37" s="24">
        <v>28</v>
      </c>
      <c r="C37" s="25" t="s">
        <v>25</v>
      </c>
      <c r="D37" s="26">
        <v>40</v>
      </c>
      <c r="E37" s="27" t="s">
        <v>60</v>
      </c>
      <c r="F37" s="28">
        <v>44588</v>
      </c>
      <c r="G37" s="28">
        <f t="shared" si="1"/>
        <v>51276.2</v>
      </c>
      <c r="H37" s="28">
        <f t="shared" si="2"/>
        <v>57429.344000000005</v>
      </c>
      <c r="I37" s="29">
        <v>46296</v>
      </c>
      <c r="J37" s="26" t="s">
        <v>6</v>
      </c>
      <c r="K37" s="29" t="s">
        <v>79</v>
      </c>
    </row>
    <row r="38" spans="2:11" ht="44" customHeight="1">
      <c r="B38" s="24">
        <v>29</v>
      </c>
      <c r="C38" s="25" t="s">
        <v>36</v>
      </c>
      <c r="D38" s="26"/>
      <c r="E38" s="27" t="s">
        <v>61</v>
      </c>
      <c r="F38" s="28">
        <v>40621</v>
      </c>
      <c r="G38" s="28">
        <f t="shared" si="1"/>
        <v>46714.149999999994</v>
      </c>
      <c r="H38" s="28">
        <f t="shared" si="2"/>
        <v>52319.847999999998</v>
      </c>
      <c r="I38" s="29">
        <v>46631</v>
      </c>
      <c r="J38" s="26" t="s">
        <v>87</v>
      </c>
      <c r="K38" s="29" t="s">
        <v>86</v>
      </c>
    </row>
    <row r="39" spans="2:11" ht="40">
      <c r="B39" s="24">
        <v>30</v>
      </c>
      <c r="C39" s="25" t="s">
        <v>44</v>
      </c>
      <c r="D39" s="26">
        <v>50</v>
      </c>
      <c r="E39" s="27" t="s">
        <v>56</v>
      </c>
      <c r="F39" s="28">
        <v>65000</v>
      </c>
      <c r="G39" s="28">
        <f t="shared" si="1"/>
        <v>74750</v>
      </c>
      <c r="H39" s="28">
        <f t="shared" si="2"/>
        <v>83720.000000000015</v>
      </c>
      <c r="I39" s="29">
        <v>46600</v>
      </c>
      <c r="J39" s="26" t="s">
        <v>83</v>
      </c>
      <c r="K39" s="29" t="s">
        <v>79</v>
      </c>
    </row>
    <row r="40" spans="2:11">
      <c r="B40" s="24">
        <v>31</v>
      </c>
      <c r="C40" s="25" t="s">
        <v>72</v>
      </c>
      <c r="D40" s="26">
        <v>40</v>
      </c>
      <c r="E40" s="27" t="s">
        <v>80</v>
      </c>
      <c r="F40" s="28">
        <v>45000</v>
      </c>
      <c r="G40" s="28">
        <f t="shared" si="1"/>
        <v>51749.999999999993</v>
      </c>
      <c r="H40" s="28">
        <f t="shared" si="2"/>
        <v>57960</v>
      </c>
      <c r="I40" s="29">
        <v>46631</v>
      </c>
      <c r="J40" s="26" t="s">
        <v>6</v>
      </c>
      <c r="K40" s="29" t="s">
        <v>79</v>
      </c>
    </row>
    <row r="41" spans="2:11">
      <c r="B41" s="24">
        <v>32</v>
      </c>
      <c r="C41" s="25" t="s">
        <v>73</v>
      </c>
      <c r="D41" s="26">
        <v>20</v>
      </c>
      <c r="E41" s="27" t="s">
        <v>80</v>
      </c>
      <c r="F41" s="28">
        <v>55000</v>
      </c>
      <c r="G41" s="28">
        <f>F41*(1+$G$8%)</f>
        <v>63249.999999999993</v>
      </c>
      <c r="H41" s="28">
        <f t="shared" si="2"/>
        <v>70840</v>
      </c>
      <c r="I41" s="29">
        <v>46539</v>
      </c>
      <c r="J41" s="26" t="s">
        <v>6</v>
      </c>
      <c r="K41" s="29" t="s">
        <v>79</v>
      </c>
    </row>
    <row r="42" spans="2:11">
      <c r="B42" s="1"/>
      <c r="C42" s="1"/>
      <c r="D42" s="1"/>
      <c r="E42" s="1"/>
      <c r="F42" s="1"/>
      <c r="G42" s="1"/>
      <c r="H42" s="1"/>
      <c r="I42" s="1"/>
      <c r="J42" s="1"/>
      <c r="K42" s="1"/>
    </row>
    <row r="44" spans="2:11" ht="130" customHeight="1">
      <c r="B44" s="34" t="s">
        <v>40</v>
      </c>
      <c r="C44" s="34"/>
      <c r="D44" s="34"/>
      <c r="E44" s="34"/>
      <c r="F44" s="34"/>
      <c r="G44" s="34"/>
      <c r="H44" s="34"/>
      <c r="I44" s="34"/>
      <c r="J44" s="34"/>
      <c r="K44" s="34"/>
    </row>
    <row r="45" spans="2:11">
      <c r="C45" s="1"/>
      <c r="D45" s="1"/>
      <c r="E45" s="1"/>
      <c r="F45" s="1"/>
      <c r="G45" s="1"/>
      <c r="H45" s="1"/>
      <c r="I45" s="1"/>
      <c r="J45" s="1"/>
      <c r="K45" s="1"/>
    </row>
    <row r="46" spans="2:11">
      <c r="B46" s="1"/>
      <c r="C46" s="1"/>
      <c r="D46" s="1"/>
      <c r="E46" s="1"/>
      <c r="F46" s="1"/>
      <c r="G46" s="1"/>
      <c r="H46" s="1"/>
      <c r="I46" s="1"/>
      <c r="J46" s="1"/>
      <c r="K46" s="1"/>
    </row>
    <row r="47" spans="2:11">
      <c r="K47" s="17"/>
    </row>
    <row r="48" spans="2:11">
      <c r="K48" s="23"/>
    </row>
    <row r="49" spans="11:11">
      <c r="K49" s="23"/>
    </row>
    <row r="50" spans="11:11">
      <c r="K50" s="17"/>
    </row>
    <row r="51" spans="11:11" ht="25" customHeight="1">
      <c r="K51" s="1"/>
    </row>
  </sheetData>
  <autoFilter ref="B9:K41" xr:uid="{00000000-0009-0000-0000-000000000000}"/>
  <mergeCells count="4">
    <mergeCell ref="J8:K8"/>
    <mergeCell ref="D7:H7"/>
    <mergeCell ref="B44:K44"/>
    <mergeCell ref="C6:J6"/>
  </mergeCells>
  <phoneticPr fontId="7" type="noConversion"/>
  <pageMargins left="0" right="0" top="0" bottom="0" header="0" footer="0"/>
  <pageSetup paperSize="9" scale="51" fitToHeight="0" orientation="portrait" copies="3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Прайс-лист</vt:lpstr>
    </vt:vector>
  </TitlesOfParts>
  <Company>SPecialiST RePack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Profi Pharm Service</cp:lastModifiedBy>
  <cp:lastPrinted>2023-07-31T11:10:06Z</cp:lastPrinted>
  <dcterms:created xsi:type="dcterms:W3CDTF">2015-05-05T06:26:53Z</dcterms:created>
  <dcterms:modified xsi:type="dcterms:W3CDTF">2026-02-23T06:39:33Z</dcterms:modified>
</cp:coreProperties>
</file>