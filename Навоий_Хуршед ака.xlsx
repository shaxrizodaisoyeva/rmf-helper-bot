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13_ncr:1_{3091B785-4572-A84D-AD81-DBE41F13BD6C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H14" i="1" s="1"/>
  <c r="G13" i="1"/>
  <c r="H13" i="1" s="1"/>
  <c r="G12" i="1" l="1"/>
  <c r="H12" i="1" s="1"/>
  <c r="G11" i="1"/>
  <c r="H11" i="1" s="1"/>
  <c r="G10" i="1"/>
  <c r="H10" i="1" s="1"/>
</calcChain>
</file>

<file path=xl/sharedStrings.xml><?xml version="1.0" encoding="utf-8"?>
<sst xmlns="http://schemas.openxmlformats.org/spreadsheetml/2006/main" count="35" uniqueCount="29">
  <si>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</si>
  <si>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</si>
  <si>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</si>
  <si>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</si>
  <si>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</si>
  <si>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</si>
  <si>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</si>
  <si>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</si>
  <si>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</si>
  <si>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</si>
  <si>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</si>
  <si>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Зотокам 1,125г пор для инък №1</t>
  </si>
  <si>
    <t>Элоксилит р-р. для инф 250 мл №1</t>
  </si>
  <si>
    <t>Орг</t>
  </si>
  <si>
    <t>Семпер р-р. для инф 200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</si>
  <si>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</si>
  <si>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</si>
  <si>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Ceftriaxone – 1000 mg + tazobactam – 125 mg (Ceftriaxone + tazobactam)</t>
  </si>
  <si>
    <t>Combination drug: (xylitol, sodium chloride, potassium chloride, calcium chloride, magnesium chloride, sodium acetate.)</t>
  </si>
  <si>
    <t>Sorbitol, sodium lactate, sodium chloride,
potassium chloride, calcium chloride, magnesium chloride</t>
  </si>
  <si>
    <t>Прайс-лист на 01.11.2025</t>
  </si>
  <si>
    <t>Экситен р-р. для инф 100 мл Nº1</t>
  </si>
  <si>
    <t>Экситен р-р. для инф 200 мл Nº1</t>
  </si>
  <si>
    <t>Бронь</t>
  </si>
  <si>
    <t>Страна</t>
  </si>
  <si>
    <t>Индия</t>
  </si>
  <si>
    <t>Узбекистан</t>
  </si>
  <si>
    <t>Meglumine</t>
  </si>
  <si>
    <t xml:space="preserve">СП ООО "Reka Med Farm"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</si>
</sst>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4"/>
  <sheetViews>
    <sheetView tabSelected="1" topLeftCell="A7" zoomScale="91" zoomScaleNormal="70" zoomScalePageLayoutView="40" workbookViewId="0">
      <selection activeCell="C25" sqref="C25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7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0" t="s">
        <v>20</v>
      </c>
      <c r="E7" s="30"/>
      <c r="F7" s="30"/>
      <c r="G7" s="30"/>
      <c r="H7" s="30"/>
      <c r="I7" s="28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29" t="s">
        <v>9</v>
      </c>
      <c r="K8" s="29"/>
    </row>
    <row r="9" spans="1:11" ht="83.25" customHeight="1">
      <c r="A9" s="18" t="s">
        <v>23</v>
      </c>
      <c r="B9" s="18" t="s">
        <v>4</v>
      </c>
      <c r="C9" s="18" t="s">
        <v>3</v>
      </c>
      <c r="D9" s="18" t="s">
        <v>13</v>
      </c>
      <c r="E9" s="18" t="s">
        <v>0</v>
      </c>
      <c r="F9" s="19" t="s">
        <v>1</v>
      </c>
      <c r="G9" s="19" t="s">
        <v>8</v>
      </c>
      <c r="H9" s="19" t="s">
        <v>10</v>
      </c>
      <c r="I9" s="20" t="s">
        <v>15</v>
      </c>
      <c r="J9" s="18" t="s">
        <v>2</v>
      </c>
      <c r="K9" s="20" t="s">
        <v>24</v>
      </c>
    </row>
    <row r="10" spans="1:11" ht="47" customHeight="1">
      <c r="B10" s="22">
        <v>1</v>
      </c>
      <c r="C10" s="23" t="s">
        <v>11</v>
      </c>
      <c r="D10" s="24">
        <v>240</v>
      </c>
      <c r="E10" s="25" t="s">
        <v>17</v>
      </c>
      <c r="F10" s="26">
        <v>45000</v>
      </c>
      <c r="G10" s="26">
        <f t="shared" ref="G10:G13" si="0">F10*(1+$G$8%)</f>
        <v>51749.999999999993</v>
      </c>
      <c r="H10" s="26">
        <f t="shared" ref="H10:H14" si="1">+G10*1.12</f>
        <v>57960</v>
      </c>
      <c r="I10" s="27">
        <v>46296</v>
      </c>
      <c r="J10" s="24" t="s">
        <v>6</v>
      </c>
      <c r="K10" s="27" t="s">
        <v>25</v>
      </c>
    </row>
    <row r="11" spans="1:11" ht="47" customHeight="1">
      <c r="B11" s="22">
        <v>2</v>
      </c>
      <c r="C11" s="23" t="s">
        <v>14</v>
      </c>
      <c r="D11" s="24">
        <v>28</v>
      </c>
      <c r="E11" s="25" t="s">
        <v>19</v>
      </c>
      <c r="F11" s="26">
        <v>40000</v>
      </c>
      <c r="G11" s="26">
        <f t="shared" si="0"/>
        <v>46000</v>
      </c>
      <c r="H11" s="26">
        <f t="shared" si="1"/>
        <v>51520.000000000007</v>
      </c>
      <c r="I11" s="27">
        <v>46661</v>
      </c>
      <c r="J11" s="24" t="s">
        <v>28</v>
      </c>
      <c r="K11" s="27" t="s">
        <v>26</v>
      </c>
    </row>
    <row r="12" spans="1:11" ht="47" customHeight="1">
      <c r="B12" s="22">
        <v>3</v>
      </c>
      <c r="C12" s="23" t="s">
        <v>12</v>
      </c>
      <c r="D12" s="24">
        <v>20</v>
      </c>
      <c r="E12" s="25" t="s">
        <v>18</v>
      </c>
      <c r="F12" s="26">
        <v>41800</v>
      </c>
      <c r="G12" s="26">
        <f t="shared" si="0"/>
        <v>48069.999999999993</v>
      </c>
      <c r="H12" s="26">
        <f t="shared" si="1"/>
        <v>53838.399999999994</v>
      </c>
      <c r="I12" s="27">
        <v>46296</v>
      </c>
      <c r="J12" s="24" t="s">
        <v>5</v>
      </c>
      <c r="K12" s="27" t="s">
        <v>26</v>
      </c>
    </row>
    <row r="13" spans="1:11">
      <c r="B13" s="22">
        <v>4</v>
      </c>
      <c r="C13" s="23" t="s">
        <v>21</v>
      </c>
      <c r="D13" s="24">
        <v>40</v>
      </c>
      <c r="E13" s="25" t="s">
        <v>27</v>
      </c>
      <c r="F13" s="26">
        <v>45000</v>
      </c>
      <c r="G13" s="26">
        <f t="shared" si="0"/>
        <v>51749.999999999993</v>
      </c>
      <c r="H13" s="26">
        <f t="shared" si="1"/>
        <v>57960</v>
      </c>
      <c r="I13" s="27">
        <v>46631</v>
      </c>
      <c r="J13" s="24" t="s">
        <v>5</v>
      </c>
      <c r="K13" s="27" t="s">
        <v>26</v>
      </c>
    </row>
    <row r="14" spans="1:11">
      <c r="B14" s="22">
        <v>5</v>
      </c>
      <c r="C14" s="23" t="s">
        <v>22</v>
      </c>
      <c r="D14" s="24">
        <v>20</v>
      </c>
      <c r="E14" s="25" t="s">
        <v>27</v>
      </c>
      <c r="F14" s="26">
        <v>55000</v>
      </c>
      <c r="G14" s="26">
        <f>F14*(1+$G$8%)</f>
        <v>63249.999999999993</v>
      </c>
      <c r="H14" s="26">
        <f t="shared" si="1"/>
        <v>70840</v>
      </c>
      <c r="I14" s="27">
        <v>46539</v>
      </c>
      <c r="J14" s="24" t="s">
        <v>5</v>
      </c>
      <c r="K14" s="27" t="s">
        <v>26</v>
      </c>
    </row>
    <row r="15" spans="1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7" spans="2:11" ht="130" customHeight="1">
      <c r="B17" s="31" t="s">
        <v>16</v>
      </c>
      <c r="C17" s="31"/>
      <c r="D17" s="31"/>
      <c r="E17" s="31"/>
      <c r="F17" s="31"/>
      <c r="G17" s="31"/>
      <c r="H17" s="31"/>
      <c r="I17" s="31"/>
      <c r="J17" s="31"/>
      <c r="K17" s="31"/>
    </row>
    <row r="18" spans="2:11"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K20" s="15"/>
    </row>
    <row r="21" spans="2:11">
      <c r="K21" s="21"/>
    </row>
    <row r="22" spans="2:11">
      <c r="K22" s="21"/>
    </row>
    <row r="23" spans="2:11">
      <c r="K23" s="15"/>
    </row>
    <row r="24" spans="2:11" ht="25" customHeight="1">
      <c r="K24" s="1"/>
    </row>
  </sheetData>
  <autoFilter ref="B9:K14" xr:uid="{00000000-0009-0000-0000-000000000000}"/>
  <mergeCells count="4">
    <mergeCell ref="J8:K8"/>
    <mergeCell ref="D7:H7"/>
    <mergeCell ref="B17:K17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2026-01-23T08:46:36Z</dcterms:modified>
</cp:coreProperties>
</file>