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ownloads/"/>
    </mc:Choice>
  </mc:AlternateContent>
  <xr:revisionPtr revIDLastSave="0" documentId="8_{BDB4C430-3F4C-294B-94CB-7C19DCCDE194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Прайс-лист" sheetId="1" r:id="rId1"/>
  </sheets>
  <definedNames>
    <definedName name="_xlnm._FilterDatabase" localSheetId="0" hidden="1">'Прайс-лист'!$B$9:$K$10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H10" i="1" s="1"/>
</calcChain>
</file>

<file path=xl/sharedStrings.xml><?xml version="1.0" encoding="utf-8"?>
<sst xmlns="http://schemas.openxmlformats.org/spreadsheetml/2006/main" count="19" uniqueCount="19">
  <si>
    <t>МНН</t>
  </si>
  <si>
    <t>Базовая цена</t>
  </si>
  <si>
    <t>Производитель</t>
  </si>
  <si>
    <t xml:space="preserve">Наименование </t>
  </si>
  <si>
    <t>№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</si>
  <si>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</si>
  <si>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</si>
  <si>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</si>
  <si>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</si>
  <si>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Орг</t>
  </si>
  <si>
    <t>Ликрузен ваг.капс 90мг №6</t>
  </si>
  <si>
    <t>Heilongjiang Tianlong Pharmaceutical Co.,Ltd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</si>
  <si>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</si>
  <si>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</si>
  <si>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Polycresulene</t>
  </si>
  <si>
    <t>Прайс-лист на 01.11.2025</t>
  </si>
  <si>
    <t>Бронь</t>
  </si>
  <si>
    <t>Страна</t>
  </si>
  <si>
    <t>Китай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</si>
</sst>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0"/>
  <sheetViews>
    <sheetView tabSelected="1" topLeftCell="A9" zoomScale="91" zoomScaleNormal="70" zoomScalePageLayoutView="40" workbookViewId="0">
      <selection activeCell="E21" sqref="E21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9" customWidth="1"/>
    <col min="4" max="4" width="11.5" style="3" customWidth="1"/>
    <col min="5" max="5" width="81" style="11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3" customWidth="1"/>
    <col min="14" max="14" width="26" style="1" bestFit="1" customWidth="1"/>
    <col min="15" max="16384" width="8.83203125" style="1"/>
  </cols>
  <sheetData>
    <row r="3" spans="1:11">
      <c r="F3" s="2"/>
      <c r="G3" s="2"/>
      <c r="H3" s="2"/>
      <c r="I3" s="2"/>
    </row>
    <row r="4" spans="1:11" ht="36" customHeight="1">
      <c r="F4" s="2"/>
      <c r="G4" s="2"/>
      <c r="H4" s="2"/>
      <c r="I4" s="2"/>
    </row>
    <row r="5" spans="1:11">
      <c r="F5" s="2"/>
      <c r="G5" s="2"/>
      <c r="H5" s="2"/>
      <c r="I5" s="2"/>
    </row>
    <row r="6" spans="1:11" ht="49" customHeight="1">
      <c r="B6" s="16"/>
      <c r="C6" s="32" t="s">
        <v>5</v>
      </c>
      <c r="D6" s="32"/>
      <c r="E6" s="32"/>
      <c r="F6" s="32"/>
      <c r="G6" s="32"/>
      <c r="H6" s="32"/>
      <c r="I6" s="32"/>
      <c r="J6" s="32"/>
      <c r="K6" s="16"/>
    </row>
    <row r="7" spans="1:11" ht="49" customHeight="1">
      <c r="B7" s="17"/>
      <c r="C7" s="17"/>
      <c r="D7" s="30" t="s">
        <v>15</v>
      </c>
      <c r="E7" s="30"/>
      <c r="F7" s="30"/>
      <c r="G7" s="30"/>
      <c r="H7" s="30"/>
      <c r="I7" s="28"/>
      <c r="J7" s="17"/>
      <c r="K7" s="17"/>
    </row>
    <row r="8" spans="1:11" ht="24.75" customHeight="1">
      <c r="B8" s="8"/>
      <c r="C8" s="10"/>
      <c r="D8" s="5"/>
      <c r="E8" s="12"/>
      <c r="F8" s="6"/>
      <c r="G8" s="14">
        <v>15</v>
      </c>
      <c r="H8" s="14"/>
      <c r="I8" s="14"/>
      <c r="J8" s="29" t="s">
        <v>7</v>
      </c>
      <c r="K8" s="29"/>
    </row>
    <row r="9" spans="1:11" ht="83.25" customHeight="1">
      <c r="A9" s="18" t="s">
        <v>16</v>
      </c>
      <c r="B9" s="18" t="s">
        <v>4</v>
      </c>
      <c r="C9" s="18" t="s">
        <v>3</v>
      </c>
      <c r="D9" s="18" t="s">
        <v>9</v>
      </c>
      <c r="E9" s="18" t="s">
        <v>0</v>
      </c>
      <c r="F9" s="19" t="s">
        <v>1</v>
      </c>
      <c r="G9" s="19" t="s">
        <v>6</v>
      </c>
      <c r="H9" s="19" t="s">
        <v>8</v>
      </c>
      <c r="I9" s="20" t="s">
        <v>12</v>
      </c>
      <c r="J9" s="18" t="s">
        <v>2</v>
      </c>
      <c r="K9" s="20" t="s">
        <v>17</v>
      </c>
    </row>
    <row r="10" spans="1:11" ht="47" customHeight="1">
      <c r="B10" s="22">
        <v>1</v>
      </c>
      <c r="C10" s="23" t="s">
        <v>10</v>
      </c>
      <c r="D10" s="24">
        <v>135</v>
      </c>
      <c r="E10" s="25" t="s">
        <v>14</v>
      </c>
      <c r="F10" s="26">
        <v>84000</v>
      </c>
      <c r="G10" s="26">
        <f t="shared" ref="G10" si="0">F10*(1+$G$8%)</f>
        <v>96599.999999999985</v>
      </c>
      <c r="H10" s="26">
        <f t="shared" ref="H10" si="1">+G10*1.12</f>
        <v>108192</v>
      </c>
      <c r="I10" s="27">
        <v>46204</v>
      </c>
      <c r="J10" s="24" t="s">
        <v>11</v>
      </c>
      <c r="K10" s="27" t="s">
        <v>18</v>
      </c>
    </row>
    <row r="11" spans="1:11">
      <c r="B11" s="1"/>
      <c r="C11" s="1"/>
      <c r="D11" s="1"/>
      <c r="E11" s="1"/>
      <c r="F11" s="1"/>
      <c r="G11" s="1"/>
      <c r="H11" s="1"/>
      <c r="I11" s="1"/>
      <c r="J11" s="1"/>
      <c r="K11" s="1"/>
    </row>
    <row r="13" spans="1:11" ht="130" customHeight="1">
      <c r="B13" s="31" t="s">
        <v>13</v>
      </c>
      <c r="C13" s="31"/>
      <c r="D13" s="31"/>
      <c r="E13" s="31"/>
      <c r="F13" s="31"/>
      <c r="G13" s="31"/>
      <c r="H13" s="31"/>
      <c r="I13" s="31"/>
      <c r="J13" s="31"/>
      <c r="K13" s="31"/>
    </row>
    <row r="14" spans="1:11"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K16" s="15"/>
    </row>
    <row r="17" spans="11:11">
      <c r="K17" s="21"/>
    </row>
    <row r="18" spans="11:11">
      <c r="K18" s="21"/>
    </row>
    <row r="19" spans="11:11">
      <c r="K19" s="15"/>
    </row>
    <row r="20" spans="11:11" ht="25" customHeight="1">
      <c r="K20" s="1"/>
    </row>
  </sheetData>
  <autoFilter ref="B9:K10" xr:uid="{00000000-0009-0000-0000-000000000000}"/>
  <mergeCells count="4">
    <mergeCell ref="J8:K8"/>
    <mergeCell ref="D7:H7"/>
    <mergeCell ref="B13:K13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2026-02-02T06:17:22Z</dcterms:modified>
</cp:coreProperties>
</file>