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623AC9B1-5968-3D44-82AD-A84AE4739D17}" xr6:coauthVersionLast="47" xr6:coauthVersionMax="47" xr10:uidLastSave="{00000000-0000-0000-0000-000000000000}"/>
  <bookViews>
    <workbookView xWindow="0" yWindow="620" windowWidth="38400" windowHeight="18760" xr2:uid="{00000000-000D-0000-FFFF-FFFF00000000}"/>
  </bookViews>
  <sheets>
    <sheet name="Прайс-лист" sheetId="1" r:id="rId1"/>
  </sheets>
  <definedNames>
    <definedName name="_xlnm._FilterDatabase" localSheetId="0" hidden="1">'Прайс-лист'!$B$9:$K$16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16" i="1" l="1"/>
  <c r="H16" i="1" s="1"/>
  <c r="G12" i="1"/>
  <c r="H12" i="1" s="1"/>
  <c r="G13" i="1"/>
  <c r="H13" i="1" s="1"/>
  <c r="G15" i="1"/>
  <c r="H15" i="1" s="1"/>
  <c r="H10" i="1"/>
  <c r="G14" i="1"/>
  <c r="H14" i="1" s="1"/>
  <c r="G11" i="1"/>
  <c r="H11" i="1" s="1"/>
</calcChain>
</file>

<file path=xl/sharedStrings.xml><?xml version="1.0" encoding="utf-8"?>
<sst xmlns="http://schemas.openxmlformats.org/spreadsheetml/2006/main" count="43" uniqueCount="35">
  <si>
    <t>МНН</t>
  </si>
  <si>
    <t>Базовая цена</t>
  </si>
  <si>
    <t>Производитель</t>
  </si>
  <si>
    <t xml:space="preserve">Наименование </t>
  </si>
  <si>
    <t>№</t>
  </si>
  <si>
    <t>СП ООО "Reka Med Farm"</t>
  </si>
  <si>
    <t>«ZEISS PHARMACEUTICALS PVT.LTD»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</si>
  <si>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</si>
  <si>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</si>
  <si>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</si>
  <si>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</si>
  <si>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Зотокам 1,125г пор для инък №1</t>
  </si>
  <si>
    <t>Рангор р-р для инъек 100 мг 5мл №5</t>
  </si>
  <si>
    <t>Орг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</si>
  <si>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</si>
  <si>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</si>
  <si>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Миранол Раствор для внутривенного введения 50мл стеклянные флаконы</t>
  </si>
  <si>
    <t>Софин Раствор для инфузий 5 % 100мл стеклянные флаконы</t>
  </si>
  <si>
    <t>Эпсол Раствор для инфузий 12 мг/мл 50мл стеклянные флаконы</t>
  </si>
  <si>
    <t>Ceftriaxone – 1000 mg + tazobactam – 125 mg (Ceftriaxone + tazobactam)</t>
  </si>
  <si>
    <t>Arginine + levocarnitine + citicoline</t>
  </si>
  <si>
    <t>Fructose-1,6-sodium diphosphate</t>
  </si>
  <si>
    <t>Thioctic acid</t>
  </si>
  <si>
    <t>Мeldonium</t>
  </si>
  <si>
    <t>Акваципро-Д гл. капли №1</t>
  </si>
  <si>
    <t>Ciprofloxacin + Dexamethasone</t>
  </si>
  <si>
    <t>Ландиос Раствор для инфузий 100мл стеклянные флаконы</t>
  </si>
  <si>
    <t>ком.лек (лизин + эсцин)</t>
  </si>
  <si>
    <t>Прайс-лист на 01.11.2025</t>
  </si>
  <si>
    <t>Бронь</t>
  </si>
  <si>
    <t>Страна</t>
  </si>
  <si>
    <t>Индия</t>
  </si>
  <si>
    <t>Узбекистан</t>
  </si>
  <si>
    <t xml:space="preserve">East African Overseases </t>
  </si>
  <si>
    <t xml:space="preserve">ООО "Temur Med Farm"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</si>
</sst>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26"/>
  <sheetViews>
    <sheetView tabSelected="1" topLeftCell="A9" zoomScale="91" zoomScaleNormal="70" zoomScalePageLayoutView="40" workbookViewId="0">
      <selection activeCell="B17" sqref="B17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9" customWidth="1"/>
    <col min="4" max="4" width="11.5" style="3" customWidth="1"/>
    <col min="5" max="5" width="81" style="11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3" customWidth="1"/>
    <col min="14" max="14" width="26" style="1" bestFit="1" customWidth="1"/>
    <col min="15" max="16384" width="8.83203125" style="1"/>
  </cols>
  <sheetData>
    <row r="3" spans="1:11">
      <c r="F3" s="2"/>
      <c r="G3" s="2"/>
      <c r="H3" s="2"/>
      <c r="I3" s="2"/>
    </row>
    <row r="4" spans="1:11" ht="36" customHeight="1">
      <c r="F4" s="2"/>
      <c r="G4" s="2"/>
      <c r="H4" s="2"/>
      <c r="I4" s="2"/>
    </row>
    <row r="5" spans="1:11">
      <c r="F5" s="2"/>
      <c r="G5" s="2"/>
      <c r="H5" s="2"/>
      <c r="I5" s="2"/>
    </row>
    <row r="6" spans="1:11" ht="49" customHeight="1">
      <c r="B6" s="16"/>
      <c r="C6" s="32" t="s">
        <v>7</v>
      </c>
      <c r="D6" s="32"/>
      <c r="E6" s="32"/>
      <c r="F6" s="32"/>
      <c r="G6" s="32"/>
      <c r="H6" s="32"/>
      <c r="I6" s="32"/>
      <c r="J6" s="32"/>
      <c r="K6" s="16"/>
    </row>
    <row r="7" spans="1:11" ht="49" customHeight="1">
      <c r="B7" s="17"/>
      <c r="C7" s="17"/>
      <c r="D7" s="30" t="s">
        <v>28</v>
      </c>
      <c r="E7" s="30"/>
      <c r="F7" s="30"/>
      <c r="G7" s="30"/>
      <c r="H7" s="30"/>
      <c r="I7" s="28"/>
      <c r="J7" s="17"/>
      <c r="K7" s="17"/>
    </row>
    <row r="8" spans="1:11" ht="24.75" customHeight="1">
      <c r="B8" s="8"/>
      <c r="C8" s="10"/>
      <c r="D8" s="5"/>
      <c r="E8" s="12"/>
      <c r="F8" s="6"/>
      <c r="G8" s="14">
        <v>15</v>
      </c>
      <c r="H8" s="14"/>
      <c r="I8" s="14"/>
      <c r="J8" s="29" t="s">
        <v>9</v>
      </c>
      <c r="K8" s="29"/>
    </row>
    <row r="9" spans="1:11" ht="83.25" customHeight="1">
      <c r="A9" s="18" t="s">
        <v>29</v>
      </c>
      <c r="B9" s="18" t="s">
        <v>4</v>
      </c>
      <c r="C9" s="18" t="s">
        <v>3</v>
      </c>
      <c r="D9" s="18" t="s">
        <v>13</v>
      </c>
      <c r="E9" s="18" t="s">
        <v>0</v>
      </c>
      <c r="F9" s="19" t="s">
        <v>1</v>
      </c>
      <c r="G9" s="19" t="s">
        <v>8</v>
      </c>
      <c r="H9" s="19" t="s">
        <v>10</v>
      </c>
      <c r="I9" s="20" t="s">
        <v>14</v>
      </c>
      <c r="J9" s="18" t="s">
        <v>2</v>
      </c>
      <c r="K9" s="20" t="s">
        <v>30</v>
      </c>
    </row>
    <row r="10" spans="1:11" ht="48" customHeight="1">
      <c r="B10" s="22">
        <v>1</v>
      </c>
      <c r="C10" s="23" t="s">
        <v>24</v>
      </c>
      <c r="D10" s="24">
        <v>500</v>
      </c>
      <c r="E10" s="25" t="s">
        <v>25</v>
      </c>
      <c r="F10" s="26">
        <v>34982</v>
      </c>
      <c r="G10" s="26">
        <f>F10*(1.14)</f>
        <v>39879.479999999996</v>
      </c>
      <c r="H10" s="26">
        <f t="shared" ref="H10" si="0">+G10*1.12</f>
        <v>44665.017599999999</v>
      </c>
      <c r="I10" s="27">
        <v>46569</v>
      </c>
      <c r="J10" s="24" t="s">
        <v>33</v>
      </c>
      <c r="K10" s="27" t="s">
        <v>31</v>
      </c>
    </row>
    <row r="11" spans="1:11" ht="47" customHeight="1">
      <c r="B11" s="22">
        <v>2</v>
      </c>
      <c r="C11" s="23" t="s">
        <v>11</v>
      </c>
      <c r="D11" s="24">
        <v>240</v>
      </c>
      <c r="E11" s="25" t="s">
        <v>19</v>
      </c>
      <c r="F11" s="26">
        <v>45000</v>
      </c>
      <c r="G11" s="26">
        <f t="shared" ref="G11:G16" si="1">F11*(1+$G$8%)</f>
        <v>51749.999999999993</v>
      </c>
      <c r="H11" s="26">
        <f t="shared" ref="H11:H16" si="2">+G11*1.12</f>
        <v>57960</v>
      </c>
      <c r="I11" s="27">
        <v>46296</v>
      </c>
      <c r="J11" s="24" t="s">
        <v>6</v>
      </c>
      <c r="K11" s="27" t="s">
        <v>31</v>
      </c>
    </row>
    <row r="12" spans="1:11" ht="47" customHeight="1">
      <c r="B12" s="22">
        <v>3</v>
      </c>
      <c r="C12" s="23" t="s">
        <v>26</v>
      </c>
      <c r="D12" s="24">
        <v>40</v>
      </c>
      <c r="E12" s="25" t="s">
        <v>27</v>
      </c>
      <c r="F12" s="26">
        <v>64700</v>
      </c>
      <c r="G12" s="26">
        <f t="shared" si="1"/>
        <v>74405</v>
      </c>
      <c r="H12" s="26">
        <f t="shared" si="2"/>
        <v>83333.600000000006</v>
      </c>
      <c r="I12" s="27">
        <v>46600</v>
      </c>
      <c r="J12" s="24" t="s">
        <v>34</v>
      </c>
      <c r="K12" s="27" t="s">
        <v>32</v>
      </c>
    </row>
    <row r="13" spans="1:11" ht="47" customHeight="1">
      <c r="B13" s="22">
        <v>4</v>
      </c>
      <c r="C13" s="23" t="s">
        <v>16</v>
      </c>
      <c r="D13" s="24">
        <v>50</v>
      </c>
      <c r="E13" s="25" t="s">
        <v>20</v>
      </c>
      <c r="F13" s="26">
        <v>90000</v>
      </c>
      <c r="G13" s="26">
        <f t="shared" si="1"/>
        <v>103499.99999999999</v>
      </c>
      <c r="H13" s="26">
        <f t="shared" si="2"/>
        <v>115920</v>
      </c>
      <c r="I13" s="27">
        <v>46600</v>
      </c>
      <c r="J13" s="24" t="s">
        <v>34</v>
      </c>
      <c r="K13" s="27" t="s">
        <v>32</v>
      </c>
    </row>
    <row r="14" spans="1:11" ht="47" customHeight="1">
      <c r="B14" s="22">
        <v>5</v>
      </c>
      <c r="C14" s="23" t="s">
        <v>12</v>
      </c>
      <c r="D14" s="24">
        <v>60</v>
      </c>
      <c r="E14" s="25" t="s">
        <v>23</v>
      </c>
      <c r="F14" s="26">
        <v>40700</v>
      </c>
      <c r="G14" s="26">
        <f t="shared" si="1"/>
        <v>46805</v>
      </c>
      <c r="H14" s="26">
        <f t="shared" si="2"/>
        <v>52421.600000000006</v>
      </c>
      <c r="I14" s="27">
        <v>46296</v>
      </c>
      <c r="J14" s="24" t="s">
        <v>5</v>
      </c>
      <c r="K14" s="27" t="s">
        <v>32</v>
      </c>
    </row>
    <row r="15" spans="1:11" ht="47" customHeight="1">
      <c r="B15" s="22">
        <v>6</v>
      </c>
      <c r="C15" s="23" t="s">
        <v>17</v>
      </c>
      <c r="D15" s="24">
        <v>40</v>
      </c>
      <c r="E15" s="25" t="s">
        <v>21</v>
      </c>
      <c r="F15" s="26">
        <v>120000</v>
      </c>
      <c r="G15" s="26">
        <f t="shared" si="1"/>
        <v>138000</v>
      </c>
      <c r="H15" s="26">
        <f t="shared" si="2"/>
        <v>154560.00000000003</v>
      </c>
      <c r="I15" s="27">
        <v>46600</v>
      </c>
      <c r="J15" s="24" t="s">
        <v>34</v>
      </c>
      <c r="K15" s="27" t="s">
        <v>32</v>
      </c>
    </row>
    <row r="16" spans="1:11" ht="40">
      <c r="B16" s="22">
        <v>7</v>
      </c>
      <c r="C16" s="23" t="s">
        <v>18</v>
      </c>
      <c r="D16" s="24">
        <v>50</v>
      </c>
      <c r="E16" s="25" t="s">
        <v>22</v>
      </c>
      <c r="F16" s="26">
        <v>65000</v>
      </c>
      <c r="G16" s="26">
        <f t="shared" si="1"/>
        <v>74750</v>
      </c>
      <c r="H16" s="26">
        <f t="shared" si="2"/>
        <v>83720.000000000015</v>
      </c>
      <c r="I16" s="27">
        <v>46600</v>
      </c>
      <c r="J16" s="24" t="s">
        <v>34</v>
      </c>
      <c r="K16" s="27" t="s">
        <v>32</v>
      </c>
    </row>
    <row r="17" spans="2:11">
      <c r="B17" s="1"/>
      <c r="C17" s="1"/>
      <c r="D17" s="1"/>
      <c r="E17" s="1"/>
      <c r="F17" s="1"/>
      <c r="G17" s="1"/>
      <c r="H17" s="1"/>
      <c r="I17" s="1"/>
      <c r="J17" s="1"/>
      <c r="K17" s="1"/>
    </row>
    <row r="19" spans="2:11" ht="130" customHeight="1">
      <c r="B19" s="31" t="s">
        <v>15</v>
      </c>
      <c r="C19" s="31"/>
      <c r="D19" s="31"/>
      <c r="E19" s="31"/>
      <c r="F19" s="31"/>
      <c r="G19" s="31"/>
      <c r="H19" s="31"/>
      <c r="I19" s="31"/>
      <c r="J19" s="31"/>
      <c r="K19" s="31"/>
    </row>
    <row r="20" spans="2:11">
      <c r="C20" s="1"/>
      <c r="D20" s="1"/>
      <c r="E20" s="1"/>
      <c r="F20" s="1"/>
      <c r="G20" s="1"/>
      <c r="H20" s="1"/>
      <c r="I20" s="1"/>
      <c r="J20" s="1"/>
      <c r="K20" s="1"/>
    </row>
    <row r="21" spans="2:11"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2:11">
      <c r="K22" s="15"/>
    </row>
    <row r="23" spans="2:11">
      <c r="K23" s="21"/>
    </row>
    <row r="24" spans="2:11">
      <c r="K24" s="21"/>
    </row>
    <row r="25" spans="2:11">
      <c r="K25" s="15"/>
    </row>
    <row r="26" spans="2:11" ht="25" customHeight="1">
      <c r="K26" s="1"/>
    </row>
  </sheetData>
  <autoFilter ref="B9:K16" xr:uid="{00000000-0009-0000-0000-000000000000}"/>
  <mergeCells count="4">
    <mergeCell ref="J8:K8"/>
    <mergeCell ref="D7:H7"/>
    <mergeCell ref="B19:K19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2026-04-01T04:55:38Z</dcterms:modified>
</cp:coreProperties>
</file>