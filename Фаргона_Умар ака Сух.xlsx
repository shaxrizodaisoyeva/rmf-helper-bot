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"/>
    </mc:Choice>
  </mc:AlternateContent>
  <xr:revisionPtr revIDLastSave="0" documentId="13_ncr:1_{B8011F48-C862-764C-B66B-71045C1977DC}" xr6:coauthVersionLast="47" xr6:coauthVersionMax="47" xr10:uidLastSave="{00000000-0000-0000-0000-000000000000}"/>
  <bookViews>
    <workbookView xWindow="38400" yWindow="2480" windowWidth="29400" windowHeight="18460" xr2:uid="{00000000-000D-0000-FFFF-FFFF00000000}"/>
  </bookViews>
  <sheets>
    <sheet name="Прайс-лист" sheetId="1" r:id="rId1"/>
  </sheets>
  <definedNames>
    <definedName name="_xlnm._FilterDatabase" localSheetId="0" hidden="1">'Прайс-лист'!$B$9:$K$31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 s="1"/>
  <c r="G27" i="1" l="1"/>
  <c r="G31" i="1" l="1"/>
  <c r="H31" i="1" s="1"/>
  <c r="G30" i="1"/>
  <c r="H30" i="1" s="1"/>
  <c r="G23" i="1"/>
  <c r="H23" i="1" s="1"/>
  <c r="G29" i="1" l="1"/>
  <c r="H29" i="1" s="1"/>
  <c r="G18" i="1"/>
  <c r="H18" i="1" s="1"/>
  <c r="G20" i="1"/>
  <c r="H20" i="1" s="1"/>
  <c r="G26" i="1"/>
  <c r="H26" i="1" s="1"/>
  <c r="G28" i="1"/>
  <c r="H28" i="1" s="1"/>
  <c r="H27" i="1"/>
  <c r="G25" i="1"/>
  <c r="H25" i="1" s="1"/>
  <c r="G24" i="1"/>
  <c r="H24" i="1" s="1"/>
  <c r="G22" i="1"/>
  <c r="H22" i="1" s="1"/>
  <c r="G21" i="1"/>
  <c r="H21" i="1" s="1"/>
  <c r="G19" i="1"/>
  <c r="H19" i="1" s="1"/>
  <c r="G17" i="1"/>
  <c r="H17" i="1" s="1"/>
  <c r="G16" i="1"/>
  <c r="H16" i="1" s="1"/>
  <c r="G15" i="1"/>
  <c r="H15" i="1" s="1"/>
  <c r="G14" i="1"/>
  <c r="H14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<sst xmlns="http://schemas.openxmlformats.org/spreadsheetml/2006/main" count="102" uniqueCount="67">
  <si>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</si>
  <si>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</si>
  <si>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</si>
  <si>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</si>
  <si>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</si>
  <si>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</si>
  <si>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</si>
  <si>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</si>
  <si>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</si>
  <si>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</si>
  <si>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</si>
  <si>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</si>
  <si>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</si>
  <si>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Адинтан р-р. для инф  200 мл №1</t>
  </si>
  <si>
    <t>Доунарин р-р. для инф  100мл №1</t>
  </si>
  <si>
    <t>Зотокам 1,125г пор для инък №1</t>
  </si>
  <si>
    <t>Исофлокс 500мг блистеры №10</t>
  </si>
  <si>
    <t>Рангор р-р для инъек 100 мг 5мл №5</t>
  </si>
  <si>
    <t>Рогинолит р-р. для инф 200 мл №1</t>
  </si>
  <si>
    <t>Элоксилит р-р. для инф 250 мл №1</t>
  </si>
  <si>
    <t>Форкард раствор для инъекций  10% 5мл №10</t>
  </si>
  <si>
    <t>OOO BAYAN MEDICAL</t>
  </si>
  <si>
    <t>Орг</t>
  </si>
  <si>
    <t>Ликрузен ваг.капс 90мг №6</t>
  </si>
  <si>
    <t>Heilongjiang Tianlong Pharmaceutical Co.,Ltd</t>
  </si>
  <si>
    <t>Неодексон р-р. для инф  100 мл №1</t>
  </si>
  <si>
    <t>Ангисем р-р. для инф   100 мл №1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</si>
  <si>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</si>
  <si>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</si>
  <si>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</si>
  <si>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</si>
  <si>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</si>
  <si>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</si>
  <si>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</si>
  <si>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</si>
  <si>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</si>
  <si>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Levofloxacin hemihydrate</t>
  </si>
  <si>
    <t>KMA (potassium hydroxide, magnesium oxide, L-aspartic acid)</t>
  </si>
  <si>
    <t>Polycresulene</t>
  </si>
  <si>
    <t>Tranexamic acid</t>
  </si>
  <si>
    <t>Combination drug: (xylitol, sodium chloride, potassium chloride, calcium chloride, magnesium chloride, sodium acetate.)</t>
  </si>
  <si>
    <t>Arginine + levocarnitine + citicoline</t>
  </si>
  <si>
    <t>Fructose-1,6-sodium diphosphate</t>
  </si>
  <si>
    <t>Thioctic acid</t>
  </si>
  <si>
    <t>Pentoxifilinе</t>
  </si>
  <si>
    <t>L-arginine</t>
  </si>
  <si>
    <t>Мeldonium</t>
  </si>
  <si>
    <t>Sorbitol, sodium lactate, sodium chloride,
potassium chloride, calcium chloride, magnesium chloride</t>
  </si>
  <si>
    <t xml:space="preserve"> L-arginine + Levocarnitine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</si>
  <si>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</si>
  <si>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</si>
  <si>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</si>
  <si>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</si>
  <si>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</si>
  <si>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</si>
  <si>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Ангисем р-р. для инф   250 мл №1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</si>
  <si>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</si>
  <si>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</si>
  <si>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</si>
  <si>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</si>
  <si>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</si>
  <si>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</si>
  <si>
    <t xml:space="preserve">ООО "Temur Med Farm" </t>
  </si>
  <si>
    <t>Китай</t>
  </si>
  <si>
    <t>Броникс р-р для инъек. 100мг/5мл №5</t>
  </si>
  <si>
    <t>Iron Hydroxide Polymaltosate</t>
  </si>
  <si>
    <t>ALWIN DMD 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</si>
</sst>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41"/>
  <sheetViews>
    <sheetView tabSelected="1" topLeftCell="A16" zoomScale="91" zoomScaleNormal="70" zoomScalePageLayoutView="40" workbookViewId="0">
      <selection activeCell="B31" sqref="B31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8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51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10</v>
      </c>
      <c r="K8" s="31"/>
    </row>
    <row r="9" spans="1:13" ht="83.25" customHeight="1">
      <c r="A9" s="20" t="s">
        <v>56</v>
      </c>
      <c r="B9" s="20" t="s">
        <v>4</v>
      </c>
      <c r="C9" s="20" t="s">
        <v>3</v>
      </c>
      <c r="D9" s="20" t="s">
        <v>22</v>
      </c>
      <c r="E9" s="20" t="s">
        <v>0</v>
      </c>
      <c r="F9" s="21" t="s">
        <v>1</v>
      </c>
      <c r="G9" s="21" t="s">
        <v>9</v>
      </c>
      <c r="H9" s="21" t="s">
        <v>11</v>
      </c>
      <c r="I9" s="22" t="s">
        <v>29</v>
      </c>
      <c r="J9" s="20" t="s">
        <v>2</v>
      </c>
      <c r="K9" s="22" t="s">
        <v>57</v>
      </c>
    </row>
    <row r="10" spans="1:13" s="8" customFormat="1" ht="48" customHeight="1">
      <c r="B10" s="24">
        <v>1</v>
      </c>
      <c r="C10" s="25" t="s">
        <v>13</v>
      </c>
      <c r="D10" s="26">
        <v>28</v>
      </c>
      <c r="E10" s="27" t="s">
        <v>34</v>
      </c>
      <c r="F10" s="28">
        <v>95400</v>
      </c>
      <c r="G10" s="28">
        <f t="shared" ref="G10:G30" si="0">F10*(1+$G$8%)</f>
        <v>109709.99999999999</v>
      </c>
      <c r="H10" s="28">
        <f>+G10*1.12</f>
        <v>122875.2</v>
      </c>
      <c r="I10" s="29">
        <v>46388</v>
      </c>
      <c r="J10" s="26" t="s">
        <v>61</v>
      </c>
      <c r="K10" s="29" t="s">
        <v>59</v>
      </c>
      <c r="M10" s="15"/>
    </row>
    <row r="11" spans="1:13" ht="47" customHeight="1">
      <c r="B11" s="24">
        <v>2</v>
      </c>
      <c r="C11" s="25" t="s">
        <v>26</v>
      </c>
      <c r="D11" s="26">
        <v>40</v>
      </c>
      <c r="E11" s="27" t="s">
        <v>44</v>
      </c>
      <c r="F11" s="28">
        <v>38000</v>
      </c>
      <c r="G11" s="28">
        <f t="shared" si="0"/>
        <v>43700</v>
      </c>
      <c r="H11" s="28">
        <f t="shared" ref="H11:H31" si="1">+G11*1.12</f>
        <v>48944.000000000007</v>
      </c>
      <c r="I11" s="29">
        <v>46357</v>
      </c>
      <c r="J11" s="26" t="s">
        <v>6</v>
      </c>
      <c r="K11" s="29" t="s">
        <v>59</v>
      </c>
    </row>
    <row r="12" spans="1:13" ht="47" customHeight="1">
      <c r="B12" s="24">
        <v>3</v>
      </c>
      <c r="C12" s="25" t="s">
        <v>55</v>
      </c>
      <c r="D12" s="26">
        <v>40</v>
      </c>
      <c r="E12" s="27" t="s">
        <v>44</v>
      </c>
      <c r="F12" s="28">
        <v>43000</v>
      </c>
      <c r="G12" s="28">
        <f t="shared" si="0"/>
        <v>49449.999999999993</v>
      </c>
      <c r="H12" s="28">
        <f t="shared" si="1"/>
        <v>55384</v>
      </c>
      <c r="I12" s="29">
        <v>46447</v>
      </c>
      <c r="J12" s="26" t="s">
        <v>6</v>
      </c>
      <c r="K12" s="29" t="s">
        <v>59</v>
      </c>
    </row>
    <row r="13" spans="1:13" ht="47" customHeight="1">
      <c r="B13" s="24">
        <v>4</v>
      </c>
      <c r="C13" s="25" t="s">
        <v>64</v>
      </c>
      <c r="D13" s="26"/>
      <c r="E13" s="27" t="s">
        <v>65</v>
      </c>
      <c r="F13" s="28">
        <v>194200</v>
      </c>
      <c r="G13" s="28">
        <f t="shared" si="0"/>
        <v>223329.99999999997</v>
      </c>
      <c r="H13" s="28">
        <f t="shared" si="1"/>
        <v>250129.59999999998</v>
      </c>
      <c r="I13" s="29">
        <v>46388</v>
      </c>
      <c r="J13" s="26" t="s">
        <v>66</v>
      </c>
      <c r="K13" s="29" t="s">
        <v>58</v>
      </c>
    </row>
    <row r="14" spans="1:13" ht="47" customHeight="1">
      <c r="B14" s="24">
        <v>5</v>
      </c>
      <c r="C14" s="25" t="s">
        <v>14</v>
      </c>
      <c r="D14" s="26">
        <v>40</v>
      </c>
      <c r="E14" s="27" t="s">
        <v>48</v>
      </c>
      <c r="F14" s="28">
        <v>55000</v>
      </c>
      <c r="G14" s="28">
        <f t="shared" si="0"/>
        <v>63249.999999999993</v>
      </c>
      <c r="H14" s="28">
        <f t="shared" si="1"/>
        <v>70840</v>
      </c>
      <c r="I14" s="29">
        <v>46357</v>
      </c>
      <c r="J14" s="26" t="s">
        <v>6</v>
      </c>
      <c r="K14" s="29" t="s">
        <v>59</v>
      </c>
    </row>
    <row r="15" spans="1:13" ht="47" customHeight="1">
      <c r="B15" s="24">
        <v>6</v>
      </c>
      <c r="C15" s="25" t="s">
        <v>15</v>
      </c>
      <c r="D15" s="26">
        <v>240</v>
      </c>
      <c r="E15" s="27" t="s">
        <v>35</v>
      </c>
      <c r="F15" s="28">
        <v>45000</v>
      </c>
      <c r="G15" s="28">
        <f t="shared" si="0"/>
        <v>51749.999999999993</v>
      </c>
      <c r="H15" s="28">
        <f t="shared" si="1"/>
        <v>57960</v>
      </c>
      <c r="I15" s="29">
        <v>46296</v>
      </c>
      <c r="J15" s="26" t="s">
        <v>7</v>
      </c>
      <c r="K15" s="29" t="s">
        <v>58</v>
      </c>
    </row>
    <row r="16" spans="1:13" ht="47" customHeight="1">
      <c r="B16" s="24">
        <v>7</v>
      </c>
      <c r="C16" s="25" t="s">
        <v>16</v>
      </c>
      <c r="D16" s="26">
        <v>400</v>
      </c>
      <c r="E16" s="27" t="s">
        <v>36</v>
      </c>
      <c r="F16" s="28">
        <v>41000</v>
      </c>
      <c r="G16" s="28">
        <f t="shared" si="0"/>
        <v>47149.999999999993</v>
      </c>
      <c r="H16" s="28">
        <f t="shared" si="1"/>
        <v>52808</v>
      </c>
      <c r="I16" s="29">
        <v>46539</v>
      </c>
      <c r="J16" s="26" t="s">
        <v>12</v>
      </c>
      <c r="K16" s="29" t="s">
        <v>58</v>
      </c>
    </row>
    <row r="17" spans="2:11" ht="47" customHeight="1">
      <c r="B17" s="24">
        <v>8</v>
      </c>
      <c r="C17" s="25" t="s">
        <v>28</v>
      </c>
      <c r="D17" s="26">
        <v>40</v>
      </c>
      <c r="E17" s="27" t="s">
        <v>37</v>
      </c>
      <c r="F17" s="28">
        <v>37000</v>
      </c>
      <c r="G17" s="28">
        <f t="shared" si="0"/>
        <v>42550</v>
      </c>
      <c r="H17" s="28">
        <f t="shared" si="1"/>
        <v>47656.000000000007</v>
      </c>
      <c r="I17" s="29">
        <v>46327</v>
      </c>
      <c r="J17" s="26" t="s">
        <v>6</v>
      </c>
      <c r="K17" s="29" t="s">
        <v>59</v>
      </c>
    </row>
    <row r="18" spans="2:11" ht="47" customHeight="1">
      <c r="B18" s="24">
        <v>9</v>
      </c>
      <c r="C18" s="25" t="s">
        <v>49</v>
      </c>
      <c r="D18" s="26">
        <v>40</v>
      </c>
      <c r="E18" s="27" t="s">
        <v>50</v>
      </c>
      <c r="F18" s="28">
        <v>64700</v>
      </c>
      <c r="G18" s="28">
        <f t="shared" si="0"/>
        <v>74405</v>
      </c>
      <c r="H18" s="28">
        <f t="shared" si="1"/>
        <v>83333.600000000006</v>
      </c>
      <c r="I18" s="29">
        <v>46600</v>
      </c>
      <c r="J18" s="26" t="s">
        <v>62</v>
      </c>
      <c r="K18" s="29" t="s">
        <v>59</v>
      </c>
    </row>
    <row r="19" spans="2:11" ht="47" customHeight="1">
      <c r="B19" s="24">
        <v>10</v>
      </c>
      <c r="C19" s="25" t="s">
        <v>23</v>
      </c>
      <c r="D19" s="26">
        <v>135</v>
      </c>
      <c r="E19" s="27" t="s">
        <v>38</v>
      </c>
      <c r="F19" s="28">
        <v>84000</v>
      </c>
      <c r="G19" s="28">
        <f t="shared" si="0"/>
        <v>96599.999999999985</v>
      </c>
      <c r="H19" s="28">
        <f t="shared" si="1"/>
        <v>108192</v>
      </c>
      <c r="I19" s="29">
        <v>46204</v>
      </c>
      <c r="J19" s="26" t="s">
        <v>24</v>
      </c>
      <c r="K19" s="29" t="s">
        <v>63</v>
      </c>
    </row>
    <row r="20" spans="2:11" ht="47" customHeight="1">
      <c r="B20" s="24">
        <v>11</v>
      </c>
      <c r="C20" s="25" t="s">
        <v>31</v>
      </c>
      <c r="D20" s="26">
        <v>50</v>
      </c>
      <c r="E20" s="27" t="s">
        <v>41</v>
      </c>
      <c r="F20" s="28">
        <v>90000</v>
      </c>
      <c r="G20" s="28">
        <f t="shared" si="0"/>
        <v>103499.99999999999</v>
      </c>
      <c r="H20" s="28">
        <f t="shared" si="1"/>
        <v>115920</v>
      </c>
      <c r="I20" s="29">
        <v>46600</v>
      </c>
      <c r="J20" s="26" t="s">
        <v>62</v>
      </c>
      <c r="K20" s="29" t="s">
        <v>59</v>
      </c>
    </row>
    <row r="21" spans="2:11" ht="47" customHeight="1">
      <c r="B21" s="24">
        <v>12</v>
      </c>
      <c r="C21" s="25" t="s">
        <v>25</v>
      </c>
      <c r="D21" s="26">
        <v>40</v>
      </c>
      <c r="E21" s="27" t="s">
        <v>45</v>
      </c>
      <c r="F21" s="28">
        <v>44588</v>
      </c>
      <c r="G21" s="28">
        <f t="shared" si="0"/>
        <v>51276.2</v>
      </c>
      <c r="H21" s="28">
        <f t="shared" si="1"/>
        <v>57429.344000000005</v>
      </c>
      <c r="I21" s="29">
        <v>46296</v>
      </c>
      <c r="J21" s="26" t="s">
        <v>6</v>
      </c>
      <c r="K21" s="29" t="s">
        <v>59</v>
      </c>
    </row>
    <row r="22" spans="2:11" ht="47" customHeight="1">
      <c r="B22" s="24">
        <v>13</v>
      </c>
      <c r="C22" s="25" t="s">
        <v>17</v>
      </c>
      <c r="D22" s="26">
        <v>60</v>
      </c>
      <c r="E22" s="27" t="s">
        <v>46</v>
      </c>
      <c r="F22" s="28">
        <v>40700</v>
      </c>
      <c r="G22" s="28">
        <f t="shared" si="0"/>
        <v>46805</v>
      </c>
      <c r="H22" s="28">
        <f t="shared" si="1"/>
        <v>52421.600000000006</v>
      </c>
      <c r="I22" s="29">
        <v>46296</v>
      </c>
      <c r="J22" s="26" t="s">
        <v>5</v>
      </c>
      <c r="K22" s="29" t="s">
        <v>59</v>
      </c>
    </row>
    <row r="23" spans="2:11" ht="47" customHeight="1">
      <c r="B23" s="24">
        <v>14</v>
      </c>
      <c r="C23" s="25" t="s">
        <v>52</v>
      </c>
      <c r="D23" s="26">
        <v>40</v>
      </c>
      <c r="E23" s="27" t="s">
        <v>47</v>
      </c>
      <c r="F23" s="28">
        <v>33500</v>
      </c>
      <c r="G23" s="28">
        <f t="shared" si="0"/>
        <v>38525</v>
      </c>
      <c r="H23" s="28">
        <f t="shared" si="1"/>
        <v>43148.000000000007</v>
      </c>
      <c r="I23" s="29">
        <v>46296</v>
      </c>
      <c r="J23" s="26" t="s">
        <v>6</v>
      </c>
      <c r="K23" s="29" t="s">
        <v>59</v>
      </c>
    </row>
    <row r="24" spans="2:11" ht="47" customHeight="1">
      <c r="B24" s="24">
        <v>15</v>
      </c>
      <c r="C24" s="25" t="s">
        <v>18</v>
      </c>
      <c r="D24" s="26">
        <v>20</v>
      </c>
      <c r="E24" s="27" t="s">
        <v>47</v>
      </c>
      <c r="F24" s="28">
        <v>40000</v>
      </c>
      <c r="G24" s="28">
        <f t="shared" si="0"/>
        <v>46000</v>
      </c>
      <c r="H24" s="28">
        <f t="shared" si="1"/>
        <v>51520.000000000007</v>
      </c>
      <c r="I24" s="29">
        <v>46296</v>
      </c>
      <c r="J24" s="26" t="s">
        <v>6</v>
      </c>
      <c r="K24" s="29" t="s">
        <v>59</v>
      </c>
    </row>
    <row r="25" spans="2:11" ht="47" customHeight="1">
      <c r="B25" s="24">
        <v>16</v>
      </c>
      <c r="C25" s="25" t="s">
        <v>27</v>
      </c>
      <c r="D25" s="26">
        <v>28</v>
      </c>
      <c r="E25" s="27" t="s">
        <v>47</v>
      </c>
      <c r="F25" s="28">
        <v>40000</v>
      </c>
      <c r="G25" s="28">
        <f t="shared" si="0"/>
        <v>46000</v>
      </c>
      <c r="H25" s="28">
        <f t="shared" si="1"/>
        <v>51520.000000000007</v>
      </c>
      <c r="I25" s="29">
        <v>46661</v>
      </c>
      <c r="J25" s="26" t="s">
        <v>61</v>
      </c>
      <c r="K25" s="29" t="s">
        <v>59</v>
      </c>
    </row>
    <row r="26" spans="2:11" ht="47" customHeight="1">
      <c r="B26" s="24">
        <v>17</v>
      </c>
      <c r="C26" s="25" t="s">
        <v>32</v>
      </c>
      <c r="D26" s="26">
        <v>40</v>
      </c>
      <c r="E26" s="27" t="s">
        <v>42</v>
      </c>
      <c r="F26" s="28">
        <v>120000</v>
      </c>
      <c r="G26" s="28">
        <f t="shared" si="0"/>
        <v>138000</v>
      </c>
      <c r="H26" s="28">
        <f t="shared" si="1"/>
        <v>154560.00000000003</v>
      </c>
      <c r="I26" s="29">
        <v>46600</v>
      </c>
      <c r="J26" s="26" t="s">
        <v>62</v>
      </c>
      <c r="K26" s="29" t="s">
        <v>59</v>
      </c>
    </row>
    <row r="27" spans="2:11" ht="47" customHeight="1">
      <c r="B27" s="24">
        <v>18</v>
      </c>
      <c r="C27" s="25" t="s">
        <v>20</v>
      </c>
      <c r="D27" s="26">
        <v>60</v>
      </c>
      <c r="E27" s="27" t="s">
        <v>39</v>
      </c>
      <c r="F27" s="28">
        <v>145000</v>
      </c>
      <c r="G27" s="28">
        <f>F27*(1.03)</f>
        <v>149350</v>
      </c>
      <c r="H27" s="28">
        <f t="shared" si="1"/>
        <v>167272.00000000003</v>
      </c>
      <c r="I27" s="29">
        <v>46419</v>
      </c>
      <c r="J27" s="26" t="s">
        <v>21</v>
      </c>
      <c r="K27" s="29"/>
    </row>
    <row r="28" spans="2:11" ht="47" customHeight="1">
      <c r="B28" s="24">
        <v>19</v>
      </c>
      <c r="C28" s="25" t="s">
        <v>19</v>
      </c>
      <c r="D28" s="26">
        <v>20</v>
      </c>
      <c r="E28" s="27" t="s">
        <v>40</v>
      </c>
      <c r="F28" s="28">
        <v>41800</v>
      </c>
      <c r="G28" s="28">
        <f t="shared" si="0"/>
        <v>48069.999999999993</v>
      </c>
      <c r="H28" s="28">
        <f t="shared" si="1"/>
        <v>53838.399999999994</v>
      </c>
      <c r="I28" s="29">
        <v>46296</v>
      </c>
      <c r="J28" s="26" t="s">
        <v>6</v>
      </c>
      <c r="K28" s="29" t="s">
        <v>59</v>
      </c>
    </row>
    <row r="29" spans="2:11" ht="40">
      <c r="B29" s="24">
        <v>20</v>
      </c>
      <c r="C29" s="25" t="s">
        <v>33</v>
      </c>
      <c r="D29" s="26">
        <v>50</v>
      </c>
      <c r="E29" s="27" t="s">
        <v>43</v>
      </c>
      <c r="F29" s="28">
        <v>65000</v>
      </c>
      <c r="G29" s="28">
        <f t="shared" si="0"/>
        <v>74750</v>
      </c>
      <c r="H29" s="28">
        <f t="shared" si="1"/>
        <v>83720.000000000015</v>
      </c>
      <c r="I29" s="29">
        <v>46600</v>
      </c>
      <c r="J29" s="26" t="s">
        <v>62</v>
      </c>
      <c r="K29" s="29" t="s">
        <v>59</v>
      </c>
    </row>
    <row r="30" spans="2:11">
      <c r="B30" s="24">
        <v>21</v>
      </c>
      <c r="C30" s="25" t="s">
        <v>53</v>
      </c>
      <c r="D30" s="26">
        <v>40</v>
      </c>
      <c r="E30" s="27" t="s">
        <v>60</v>
      </c>
      <c r="F30" s="28">
        <v>45000</v>
      </c>
      <c r="G30" s="28">
        <f t="shared" si="0"/>
        <v>51749.999999999993</v>
      </c>
      <c r="H30" s="28">
        <f t="shared" si="1"/>
        <v>57960</v>
      </c>
      <c r="I30" s="29">
        <v>46631</v>
      </c>
      <c r="J30" s="26" t="s">
        <v>6</v>
      </c>
      <c r="K30" s="29" t="s">
        <v>59</v>
      </c>
    </row>
    <row r="31" spans="2:11">
      <c r="B31" s="24">
        <v>22</v>
      </c>
      <c r="C31" s="25" t="s">
        <v>54</v>
      </c>
      <c r="D31" s="26">
        <v>20</v>
      </c>
      <c r="E31" s="27" t="s">
        <v>60</v>
      </c>
      <c r="F31" s="28">
        <v>55000</v>
      </c>
      <c r="G31" s="28">
        <f>F31*(1+$G$8%)</f>
        <v>63249.999999999993</v>
      </c>
      <c r="H31" s="28">
        <f t="shared" si="1"/>
        <v>70840</v>
      </c>
      <c r="I31" s="29">
        <v>46539</v>
      </c>
      <c r="J31" s="26" t="s">
        <v>6</v>
      </c>
      <c r="K31" s="29" t="s">
        <v>59</v>
      </c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4" spans="2:11" ht="130" customHeight="1">
      <c r="B34" s="33" t="s">
        <v>30</v>
      </c>
      <c r="C34" s="33"/>
      <c r="D34" s="33"/>
      <c r="E34" s="33"/>
      <c r="F34" s="33"/>
      <c r="G34" s="33"/>
      <c r="H34" s="33"/>
      <c r="I34" s="33"/>
      <c r="J34" s="33"/>
      <c r="K34" s="33"/>
    </row>
    <row r="35" spans="2:11"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>
      <c r="K37" s="17"/>
    </row>
    <row r="38" spans="2:11">
      <c r="K38" s="23"/>
    </row>
    <row r="39" spans="2:11">
      <c r="K39" s="23"/>
    </row>
    <row r="40" spans="2:11">
      <c r="K40" s="17"/>
    </row>
    <row r="41" spans="2:11" ht="25" customHeight="1">
      <c r="K41" s="1"/>
    </row>
  </sheetData>
  <autoFilter ref="B9:K31" xr:uid="{00000000-0009-0000-0000-000000000000}"/>
  <mergeCells count="4">
    <mergeCell ref="J8:K8"/>
    <mergeCell ref="D7:H7"/>
    <mergeCell ref="B34:K34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2026-02-23T06:49:32Z</dcterms:modified>
</cp:coreProperties>
</file>