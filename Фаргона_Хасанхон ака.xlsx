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50FB8835-76B8-EE49-A67A-0C31975C852E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2" i="1"/>
  <c r="H12" i="1" s="1"/>
  <c r="G15" i="1" l="1"/>
  <c r="H15" i="1" s="1"/>
  <c r="G17" i="1" l="1"/>
  <c r="H17" i="1" s="1"/>
  <c r="H10" i="1"/>
  <c r="G18" i="1"/>
  <c r="H18" i="1" s="1"/>
  <c r="G16" i="1"/>
  <c r="H16" i="1" s="1"/>
  <c r="G14" i="1"/>
  <c r="H14" i="1" s="1"/>
  <c r="G13" i="1"/>
  <c r="H13" i="1" s="1"/>
  <c r="G11" i="1"/>
  <c r="H11" i="1" s="1"/>
</calcChain>
</file>

<file path=xl/sharedStrings.xml><?xml version="1.0" encoding="utf-8"?>
<sst xmlns="http://schemas.openxmlformats.org/spreadsheetml/2006/main" count="51" uniqueCount="40">
  <si>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</si>
  <si>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</si>
  <si>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</si>
  <si>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</si>
  <si>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</si>
  <si>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</si>
  <si>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</si>
  <si>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</si>
  <si>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</si>
  <si>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</si>
  <si>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</si>
  <si>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Ангиотрен р-р. для инф  200мл №1</t>
  </si>
  <si>
    <t>Доунарин р-р. для инф  100мл №1</t>
  </si>
  <si>
    <t>Зотокам 1,125г пор для инък №1</t>
  </si>
  <si>
    <t>Рогинолит р-р. для инф 200 мл №1</t>
  </si>
  <si>
    <t>Элгинарин р-р. для инф 100мл №1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</si>
  <si>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</si>
  <si>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</si>
  <si>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</si>
  <si>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</si>
  <si>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Ceftriaxone – 1000 mg + tazobactam – 125 mg (Ceftriaxone + tazobactam)</t>
  </si>
  <si>
    <t>sulbactam + cefoperazone</t>
  </si>
  <si>
    <t>Pentoxifilinе</t>
  </si>
  <si>
    <t>L-arginine</t>
  </si>
  <si>
    <t>Sorbitol, sodium lactate, sodium chloride,
potassium chloride, calcium chloride, magnesium chloride</t>
  </si>
  <si>
    <t xml:space="preserve"> L-arginine + Levocarnitine</t>
  </si>
  <si>
    <t>Акваципро-Д гл. капли №1</t>
  </si>
  <si>
    <t>Ciprofloxacin + Dexamethasone</t>
  </si>
  <si>
    <t>Прайс-лист на 01.11.2025</t>
  </si>
  <si>
    <t>Рогинолит р-р. для инф 100 мл №1</t>
  </si>
  <si>
    <t>Броникс р-р для инъек. 100мг/5мл №5</t>
  </si>
  <si>
    <t>Бронь</t>
  </si>
  <si>
    <t>Страна</t>
  </si>
  <si>
    <t>Индия</t>
  </si>
  <si>
    <t>Узбекистан</t>
  </si>
  <si>
    <t xml:space="preserve">East African Overseases </t>
  </si>
  <si>
    <t xml:space="preserve">СП ООО "Reka Med Farm" </t>
  </si>
  <si>
    <t>ALWIN DMD PHARMACEUTICALS</t>
  </si>
  <si>
    <t>Iron Hydroxide Polymaltosate</t>
  </si>
  <si>
    <t xml:space="preserve">MSME Synapse Pharmatech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</si>
</sst>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8"/>
  <sheetViews>
    <sheetView tabSelected="1" topLeftCell="A4" zoomScale="91" zoomScaleNormal="70" zoomScalePageLayoutView="40" workbookViewId="0">
      <selection activeCell="F18" sqref="F18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3" t="s">
        <v>7</v>
      </c>
      <c r="D6" s="33"/>
      <c r="E6" s="33"/>
      <c r="F6" s="33"/>
      <c r="G6" s="33"/>
      <c r="H6" s="33"/>
      <c r="I6" s="33"/>
      <c r="J6" s="33"/>
      <c r="K6" s="16"/>
    </row>
    <row r="7" spans="1:11" ht="49" customHeight="1">
      <c r="B7" s="17"/>
      <c r="C7" s="17"/>
      <c r="D7" s="31" t="s">
        <v>28</v>
      </c>
      <c r="E7" s="31"/>
      <c r="F7" s="31"/>
      <c r="G7" s="31"/>
      <c r="H7" s="31"/>
      <c r="I7" s="29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30" t="s">
        <v>9</v>
      </c>
      <c r="K8" s="30"/>
    </row>
    <row r="9" spans="1:11" ht="83.25" customHeight="1">
      <c r="A9" s="18" t="s">
        <v>31</v>
      </c>
      <c r="B9" s="18" t="s">
        <v>4</v>
      </c>
      <c r="C9" s="18" t="s">
        <v>3</v>
      </c>
      <c r="D9" s="18" t="s">
        <v>16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17</v>
      </c>
      <c r="J9" s="18" t="s">
        <v>2</v>
      </c>
      <c r="K9" s="20" t="s">
        <v>32</v>
      </c>
    </row>
    <row r="10" spans="1:11" ht="48" customHeight="1">
      <c r="B10" s="22">
        <v>1</v>
      </c>
      <c r="C10" s="23" t="s">
        <v>26</v>
      </c>
      <c r="D10" s="24">
        <v>500</v>
      </c>
      <c r="E10" s="25" t="s">
        <v>27</v>
      </c>
      <c r="F10" s="26">
        <v>34982</v>
      </c>
      <c r="G10" s="26">
        <f>F10*(1.14)</f>
        <v>39879.479999999996</v>
      </c>
      <c r="H10" s="26">
        <f t="shared" ref="H10" si="0">+G10*1.12</f>
        <v>44665.017599999999</v>
      </c>
      <c r="I10" s="27">
        <v>46569</v>
      </c>
      <c r="J10" s="24" t="s">
        <v>35</v>
      </c>
      <c r="K10" s="27" t="s">
        <v>33</v>
      </c>
    </row>
    <row r="11" spans="1:11" ht="47" customHeight="1">
      <c r="B11" s="22">
        <v>2</v>
      </c>
      <c r="C11" s="23" t="s">
        <v>11</v>
      </c>
      <c r="D11" s="24">
        <v>28</v>
      </c>
      <c r="E11" s="25" t="s">
        <v>22</v>
      </c>
      <c r="F11" s="26">
        <v>37000</v>
      </c>
      <c r="G11" s="26">
        <f t="shared" ref="G11:G18" si="1">F11*(1+$G$8%)</f>
        <v>42550</v>
      </c>
      <c r="H11" s="26">
        <f t="shared" ref="H11:H18" si="2">+G11*1.12</f>
        <v>47656.000000000007</v>
      </c>
      <c r="I11" s="27">
        <v>46296</v>
      </c>
      <c r="J11" s="24" t="s">
        <v>36</v>
      </c>
      <c r="K11" s="27" t="s">
        <v>34</v>
      </c>
    </row>
    <row r="12" spans="1:11" ht="47" customHeight="1">
      <c r="B12" s="22">
        <v>3</v>
      </c>
      <c r="C12" s="23" t="s">
        <v>30</v>
      </c>
      <c r="D12" s="24"/>
      <c r="E12" s="25" t="s">
        <v>38</v>
      </c>
      <c r="F12" s="26">
        <v>194200</v>
      </c>
      <c r="G12" s="26">
        <f t="shared" ref="G12" si="3">F12*(1+$G$8%)</f>
        <v>223329.99999999997</v>
      </c>
      <c r="H12" s="26">
        <f t="shared" ref="H12" si="4">+G12*1.12</f>
        <v>250129.59999999998</v>
      </c>
      <c r="I12" s="27">
        <v>46388</v>
      </c>
      <c r="J12" s="24" t="s">
        <v>37</v>
      </c>
      <c r="K12" s="27" t="s">
        <v>33</v>
      </c>
    </row>
    <row r="13" spans="1:11" ht="47" customHeight="1">
      <c r="B13" s="22">
        <v>4</v>
      </c>
      <c r="C13" s="23" t="s">
        <v>12</v>
      </c>
      <c r="D13" s="24">
        <v>40</v>
      </c>
      <c r="E13" s="25" t="s">
        <v>25</v>
      </c>
      <c r="F13" s="26">
        <v>55000</v>
      </c>
      <c r="G13" s="26">
        <f t="shared" si="1"/>
        <v>63249.999999999993</v>
      </c>
      <c r="H13" s="26">
        <f t="shared" si="2"/>
        <v>70840</v>
      </c>
      <c r="I13" s="27">
        <v>46357</v>
      </c>
      <c r="J13" s="24" t="s">
        <v>5</v>
      </c>
      <c r="K13" s="27" t="s">
        <v>34</v>
      </c>
    </row>
    <row r="14" spans="1:11" ht="47" customHeight="1">
      <c r="B14" s="22">
        <v>5</v>
      </c>
      <c r="C14" s="23" t="s">
        <v>13</v>
      </c>
      <c r="D14" s="24">
        <v>240</v>
      </c>
      <c r="E14" s="25" t="s">
        <v>20</v>
      </c>
      <c r="F14" s="26">
        <v>45000</v>
      </c>
      <c r="G14" s="26">
        <f t="shared" si="1"/>
        <v>51749.999999999993</v>
      </c>
      <c r="H14" s="26">
        <f t="shared" si="2"/>
        <v>57960</v>
      </c>
      <c r="I14" s="27">
        <v>46296</v>
      </c>
      <c r="J14" s="24" t="s">
        <v>6</v>
      </c>
      <c r="K14" s="27" t="s">
        <v>33</v>
      </c>
    </row>
    <row r="15" spans="1:11" ht="47" customHeight="1">
      <c r="B15" s="22">
        <v>6</v>
      </c>
      <c r="C15" s="23" t="s">
        <v>29</v>
      </c>
      <c r="D15" s="24">
        <v>40</v>
      </c>
      <c r="E15" s="25" t="s">
        <v>24</v>
      </c>
      <c r="F15" s="26">
        <v>33500</v>
      </c>
      <c r="G15" s="26">
        <f t="shared" si="1"/>
        <v>38525</v>
      </c>
      <c r="H15" s="26">
        <f t="shared" si="2"/>
        <v>43148.000000000007</v>
      </c>
      <c r="I15" s="27">
        <v>46296</v>
      </c>
      <c r="J15" s="24" t="s">
        <v>5</v>
      </c>
      <c r="K15" s="27" t="s">
        <v>34</v>
      </c>
    </row>
    <row r="16" spans="1:11" ht="47" customHeight="1">
      <c r="B16" s="22">
        <v>7</v>
      </c>
      <c r="C16" s="23" t="s">
        <v>14</v>
      </c>
      <c r="D16" s="24">
        <v>20</v>
      </c>
      <c r="E16" s="25" t="s">
        <v>24</v>
      </c>
      <c r="F16" s="26">
        <v>40000</v>
      </c>
      <c r="G16" s="26">
        <f t="shared" si="1"/>
        <v>46000</v>
      </c>
      <c r="H16" s="26">
        <f t="shared" si="2"/>
        <v>51520.000000000007</v>
      </c>
      <c r="I16" s="27">
        <v>46296</v>
      </c>
      <c r="J16" s="24" t="s">
        <v>5</v>
      </c>
      <c r="K16" s="27" t="s">
        <v>34</v>
      </c>
    </row>
    <row r="17" spans="2:11" ht="47" customHeight="1">
      <c r="B17" s="22">
        <v>8</v>
      </c>
      <c r="C17" s="28" t="s">
        <v>19</v>
      </c>
      <c r="D17" s="24">
        <v>200</v>
      </c>
      <c r="E17" s="25" t="s">
        <v>21</v>
      </c>
      <c r="F17" s="26">
        <v>43167</v>
      </c>
      <c r="G17" s="26">
        <f t="shared" si="1"/>
        <v>49642.049999999996</v>
      </c>
      <c r="H17" s="26">
        <f t="shared" si="2"/>
        <v>55599.095999999998</v>
      </c>
      <c r="I17" s="27">
        <v>46447</v>
      </c>
      <c r="J17" s="24" t="s">
        <v>39</v>
      </c>
      <c r="K17" s="27" t="s">
        <v>33</v>
      </c>
    </row>
    <row r="18" spans="2:11" ht="47" customHeight="1">
      <c r="B18" s="22">
        <v>9</v>
      </c>
      <c r="C18" s="23" t="s">
        <v>15</v>
      </c>
      <c r="D18" s="24">
        <v>40</v>
      </c>
      <c r="E18" s="25" t="s">
        <v>23</v>
      </c>
      <c r="F18" s="26">
        <v>44588</v>
      </c>
      <c r="G18" s="26">
        <f t="shared" si="1"/>
        <v>51276.2</v>
      </c>
      <c r="H18" s="26">
        <f t="shared" si="2"/>
        <v>57429.344000000005</v>
      </c>
      <c r="I18" s="27">
        <v>46296</v>
      </c>
      <c r="J18" s="24" t="s">
        <v>5</v>
      </c>
      <c r="K18" s="27" t="s">
        <v>34</v>
      </c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1" spans="2:11" ht="130" customHeight="1">
      <c r="B21" s="32" t="s">
        <v>18</v>
      </c>
      <c r="C21" s="32"/>
      <c r="D21" s="32"/>
      <c r="E21" s="32"/>
      <c r="F21" s="32"/>
      <c r="G21" s="32"/>
      <c r="H21" s="32"/>
      <c r="I21" s="32"/>
      <c r="J21" s="32"/>
      <c r="K21" s="32"/>
    </row>
    <row r="22" spans="2:11"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K24" s="15"/>
    </row>
    <row r="25" spans="2:11">
      <c r="K25" s="21"/>
    </row>
    <row r="26" spans="2:11">
      <c r="K26" s="21"/>
    </row>
    <row r="27" spans="2:11">
      <c r="K27" s="15"/>
    </row>
    <row r="28" spans="2:11" ht="25" customHeight="1">
      <c r="K28" s="1"/>
    </row>
  </sheetData>
  <autoFilter ref="B9:K18" xr:uid="{00000000-0009-0000-0000-000000000000}"/>
  <mergeCells count="4">
    <mergeCell ref="J8:K8"/>
    <mergeCell ref="D7:H7"/>
    <mergeCell ref="B21:K21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2026-04-01T05:03:29Z</dcterms:modified>
</cp:coreProperties>
</file>