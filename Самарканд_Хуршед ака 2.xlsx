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500F7C30-F908-2648-B1C2-B53C4BDEFFCF}" xr6:coauthVersionLast="47" xr6:coauthVersionMax="47" xr10:uidLastSave="{00000000-0000-0000-0000-000000000000}"/>
  <bookViews>
    <workbookView xWindow="0" yWindow="680" windowWidth="29400" windowHeight="16580" xr2:uid="{00000000-000D-0000-FFFF-FFFF00000000}"/>
  </bookViews>
  <sheets>
    <sheet name="Прайс-лист" sheetId="1" r:id="rId1"/>
  </sheets>
  <definedNames>
    <definedName name="_xlnm._FilterDatabase" localSheetId="0" hidden="1">'Прайс-лист'!$B$9:$K$13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H16" i="1" s="1"/>
  <c r="G15" i="1" l="1"/>
  <c r="H15" i="1" s="1"/>
  <c r="G14" i="1" l="1"/>
  <c r="H14" i="1" s="1"/>
  <c r="G13" i="1" l="1"/>
  <c r="H13" i="1" s="1"/>
  <c r="G11" i="1"/>
  <c r="H11" i="1" s="1"/>
  <c r="G10" i="1"/>
  <c r="H10" i="1" s="1"/>
  <c r="G12" i="1"/>
  <c r="H12" i="1" s="1"/>
</calcChain>
</file>

<file path=xl/sharedStrings.xml><?xml version="1.0" encoding="utf-8"?>
<sst xmlns="http://schemas.openxmlformats.org/spreadsheetml/2006/main" count="43" uniqueCount="37">
  <si>
    <t>МНН</t>
  </si>
  <si>
    <t>Базовая цена</t>
  </si>
  <si>
    <t>Производитель</t>
  </si>
  <si>
    <t xml:space="preserve">Наименование </t>
  </si>
  <si>
    <t>№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</si>
  <si>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</si>
  <si>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</si>
  <si>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</si>
  <si>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</si>
  <si>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</si>
  <si>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</si>
  <si>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</si>
  <si>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</si>
  <si>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</si>
  <si>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</si>
  <si>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</si>
  <si>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sulbactam + cefoperazone</t>
  </si>
  <si>
    <t>Arginine + levocarnitine + citicoline</t>
  </si>
  <si>
    <t>Fructose-1,6-sodium diphosphate</t>
  </si>
  <si>
    <t>Thioctic acid</t>
  </si>
  <si>
    <t>Прайс-лист на 01.11.2025</t>
  </si>
  <si>
    <t>Бронь</t>
  </si>
  <si>
    <t>Страна</t>
  </si>
  <si>
    <t>Индия</t>
  </si>
  <si>
    <t>Узбекистан</t>
  </si>
  <si>
    <t xml:space="preserve">ООО "Temur Med Farm" </t>
  </si>
  <si>
    <t xml:space="preserve">MSME Synapse Pharmatech </t>
  </si>
  <si>
    <t>Эльфор р-р. для инф  5м/мл</t>
  </si>
  <si>
    <t>Levofloxacin</t>
  </si>
  <si>
    <t xml:space="preserve">Co., Ltd. Wuhan Fuxing Biological Pharmaceutical </t>
  </si>
  <si>
    <t>Китай</t>
  </si>
  <si>
    <t>Зотокам 1,125г пор для инък №1</t>
  </si>
  <si>
    <t>Ceftriaxone – 1000 mg + tazobactam – 125 mg (Ceftriaxone + tazobactam)</t>
  </si>
  <si>
    <t>«ZEISS PHARMACEUTICALS PVT.LTD»</t>
  </si>
  <si>
    <t>Семпер р-р. для инф 200 мл №1</t>
  </si>
  <si>
    <t>Sorbitol, sodium lactate, sodium chloride,
potassium chloride, calcium chloride, magnesium chloride</t>
  </si>
  <si>
    <t xml:space="preserve">СП ООО "Reka Med Farm"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</si>
</sst>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8" fillId="0" borderId="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26"/>
  <sheetViews>
    <sheetView tabSelected="1" topLeftCell="A6" zoomScale="91" zoomScaleNormal="70" zoomScalePageLayoutView="40" workbookViewId="0">
      <selection activeCell="B19" sqref="B19:K19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5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1" t="s">
        <v>20</v>
      </c>
      <c r="E7" s="31"/>
      <c r="F7" s="31"/>
      <c r="G7" s="31"/>
      <c r="H7" s="31"/>
      <c r="I7" s="29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30" t="s">
        <v>7</v>
      </c>
      <c r="K8" s="30"/>
    </row>
    <row r="9" spans="1:11" ht="83.25" customHeight="1">
      <c r="A9" s="18" t="s">
        <v>21</v>
      </c>
      <c r="B9" s="18" t="s">
        <v>4</v>
      </c>
      <c r="C9" s="18" t="s">
        <v>3</v>
      </c>
      <c r="D9" s="18" t="s">
        <v>9</v>
      </c>
      <c r="E9" s="18" t="s">
        <v>0</v>
      </c>
      <c r="F9" s="19" t="s">
        <v>1</v>
      </c>
      <c r="G9" s="19" t="s">
        <v>6</v>
      </c>
      <c r="H9" s="19" t="s">
        <v>8</v>
      </c>
      <c r="I9" s="20" t="s">
        <v>10</v>
      </c>
      <c r="J9" s="18" t="s">
        <v>2</v>
      </c>
      <c r="K9" s="20" t="s">
        <v>22</v>
      </c>
    </row>
    <row r="10" spans="1:11" ht="47" customHeight="1">
      <c r="B10" s="22">
        <v>1</v>
      </c>
      <c r="C10" s="23" t="s">
        <v>13</v>
      </c>
      <c r="D10" s="24">
        <v>50</v>
      </c>
      <c r="E10" s="25" t="s">
        <v>17</v>
      </c>
      <c r="F10" s="26">
        <v>90000</v>
      </c>
      <c r="G10" s="26">
        <f t="shared" ref="G10:G16" si="0">F10*(1+$G$8%)</f>
        <v>103499.99999999999</v>
      </c>
      <c r="H10" s="26">
        <f t="shared" ref="H10:H16" si="1">+G10*1.12</f>
        <v>115920</v>
      </c>
      <c r="I10" s="27">
        <v>46600</v>
      </c>
      <c r="J10" s="24" t="s">
        <v>25</v>
      </c>
      <c r="K10" s="27" t="s">
        <v>24</v>
      </c>
    </row>
    <row r="11" spans="1:11" ht="47" customHeight="1">
      <c r="B11" s="22">
        <v>2</v>
      </c>
      <c r="C11" s="28" t="s">
        <v>12</v>
      </c>
      <c r="D11" s="24">
        <v>200</v>
      </c>
      <c r="E11" s="25" t="s">
        <v>16</v>
      </c>
      <c r="F11" s="26">
        <v>44523.3</v>
      </c>
      <c r="G11" s="26">
        <f t="shared" si="0"/>
        <v>51201.794999999998</v>
      </c>
      <c r="H11" s="26">
        <f t="shared" si="1"/>
        <v>57346.010400000006</v>
      </c>
      <c r="I11" s="27">
        <v>46447</v>
      </c>
      <c r="J11" s="24" t="s">
        <v>26</v>
      </c>
      <c r="K11" s="27" t="s">
        <v>23</v>
      </c>
    </row>
    <row r="12" spans="1:11" ht="47" customHeight="1">
      <c r="B12" s="22">
        <v>3</v>
      </c>
      <c r="C12" s="23" t="s">
        <v>14</v>
      </c>
      <c r="D12" s="24">
        <v>40</v>
      </c>
      <c r="E12" s="25" t="s">
        <v>18</v>
      </c>
      <c r="F12" s="26">
        <v>120000</v>
      </c>
      <c r="G12" s="26">
        <f t="shared" si="0"/>
        <v>138000</v>
      </c>
      <c r="H12" s="26">
        <f t="shared" si="1"/>
        <v>154560.00000000003</v>
      </c>
      <c r="I12" s="27">
        <v>46600</v>
      </c>
      <c r="J12" s="24" t="s">
        <v>25</v>
      </c>
      <c r="K12" s="27" t="s">
        <v>24</v>
      </c>
    </row>
    <row r="13" spans="1:11" ht="40">
      <c r="B13" s="22">
        <v>4</v>
      </c>
      <c r="C13" s="23" t="s">
        <v>15</v>
      </c>
      <c r="D13" s="24">
        <v>50</v>
      </c>
      <c r="E13" s="25" t="s">
        <v>19</v>
      </c>
      <c r="F13" s="26">
        <v>65000</v>
      </c>
      <c r="G13" s="26">
        <f t="shared" si="0"/>
        <v>74750</v>
      </c>
      <c r="H13" s="26">
        <f t="shared" si="1"/>
        <v>83720.000000000015</v>
      </c>
      <c r="I13" s="27">
        <v>46600</v>
      </c>
      <c r="J13" s="24" t="s">
        <v>25</v>
      </c>
      <c r="K13" s="27" t="s">
        <v>24</v>
      </c>
    </row>
    <row r="14" spans="1:11">
      <c r="B14" s="22">
        <v>5</v>
      </c>
      <c r="C14" s="23" t="s">
        <v>27</v>
      </c>
      <c r="D14" s="24"/>
      <c r="E14" s="25" t="s">
        <v>28</v>
      </c>
      <c r="F14" s="26">
        <v>40621</v>
      </c>
      <c r="G14" s="26">
        <f t="shared" si="0"/>
        <v>46714.149999999994</v>
      </c>
      <c r="H14" s="26">
        <f t="shared" si="1"/>
        <v>52319.847999999998</v>
      </c>
      <c r="I14" s="27">
        <v>46631</v>
      </c>
      <c r="J14" s="24" t="s">
        <v>29</v>
      </c>
      <c r="K14" s="27" t="s">
        <v>30</v>
      </c>
    </row>
    <row r="15" spans="1:11" ht="40">
      <c r="B15" s="22">
        <v>6</v>
      </c>
      <c r="C15" s="23" t="s">
        <v>31</v>
      </c>
      <c r="D15" s="24">
        <v>240</v>
      </c>
      <c r="E15" s="25" t="s">
        <v>32</v>
      </c>
      <c r="F15" s="26">
        <v>45000</v>
      </c>
      <c r="G15" s="26">
        <f t="shared" si="0"/>
        <v>51749.999999999993</v>
      </c>
      <c r="H15" s="26">
        <f t="shared" si="1"/>
        <v>57960</v>
      </c>
      <c r="I15" s="27">
        <v>46296</v>
      </c>
      <c r="J15" s="24" t="s">
        <v>33</v>
      </c>
      <c r="K15" s="27" t="s">
        <v>23</v>
      </c>
    </row>
    <row r="16" spans="1:11" ht="40">
      <c r="B16" s="22">
        <v>7</v>
      </c>
      <c r="C16" s="23" t="s">
        <v>34</v>
      </c>
      <c r="D16" s="24">
        <v>28</v>
      </c>
      <c r="E16" s="25" t="s">
        <v>35</v>
      </c>
      <c r="F16" s="26">
        <v>40000</v>
      </c>
      <c r="G16" s="26">
        <f t="shared" si="0"/>
        <v>46000</v>
      </c>
      <c r="H16" s="26">
        <f t="shared" si="1"/>
        <v>51520.000000000007</v>
      </c>
      <c r="I16" s="27">
        <v>46661</v>
      </c>
      <c r="J16" s="24" t="s">
        <v>36</v>
      </c>
      <c r="K16" s="27" t="s">
        <v>24</v>
      </c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33"/>
    </row>
    <row r="18" spans="2:11">
      <c r="B18" s="1"/>
      <c r="C18" s="1"/>
      <c r="D18" s="1"/>
      <c r="E18" s="1"/>
      <c r="F18" s="1"/>
      <c r="G18" s="1"/>
      <c r="H18" s="1"/>
      <c r="I18" s="1"/>
      <c r="J18" s="1"/>
    </row>
    <row r="19" spans="2:11" ht="130" customHeight="1">
      <c r="B19" s="34" t="s">
        <v>11</v>
      </c>
      <c r="C19" s="35"/>
      <c r="D19" s="35"/>
      <c r="E19" s="35"/>
      <c r="F19" s="35"/>
      <c r="G19" s="35"/>
      <c r="H19" s="35"/>
      <c r="I19" s="35"/>
      <c r="J19" s="35"/>
      <c r="K19" s="36"/>
    </row>
    <row r="20" spans="2:11">
      <c r="C20" s="1"/>
      <c r="D20" s="1"/>
      <c r="E20" s="1"/>
      <c r="F20" s="1"/>
      <c r="G20" s="1"/>
      <c r="H20" s="1"/>
      <c r="I20" s="1"/>
      <c r="J20" s="1"/>
      <c r="K20" s="1"/>
    </row>
    <row r="21" spans="2:11"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2:11">
      <c r="K22" s="15"/>
    </row>
    <row r="23" spans="2:11">
      <c r="K23" s="21"/>
    </row>
    <row r="24" spans="2:11">
      <c r="K24" s="21"/>
    </row>
    <row r="25" spans="2:11">
      <c r="K25" s="15"/>
    </row>
    <row r="26" spans="2:11" ht="25" customHeight="1">
      <c r="K26" s="1"/>
    </row>
  </sheetData>
  <autoFilter ref="B9:K13" xr:uid="{00000000-0009-0000-0000-000000000000}"/>
  <mergeCells count="4">
    <mergeCell ref="J8:K8"/>
    <mergeCell ref="D7:H7"/>
    <mergeCell ref="B19:K19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2026-03-02T05:48:14Z</dcterms:modified>
</cp:coreProperties>
</file>