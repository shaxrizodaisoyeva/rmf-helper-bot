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Prays list/"/>
    </mc:Choice>
  </mc:AlternateContent>
  <xr:revisionPtr revIDLastSave="0" documentId="13_ncr:1_{7038294D-6851-9540-9C90-E623F556C65D}" xr6:coauthVersionLast="47" xr6:coauthVersionMax="47" xr10:uidLastSave="{00000000-0000-0000-0000-000000000000}"/>
  <bookViews>
    <workbookView xWindow="0" yWindow="620" windowWidth="38400" windowHeight="18760" xr2:uid="{00000000-000D-0000-FFFF-FFFF00000000}"/>
  </bookViews>
  <sheets>
    <sheet name="Прайс-лист" sheetId="1" r:id="rId1"/>
  </sheets>
  <definedNames>
    <definedName name="_xlnm._FilterDatabase" localSheetId="0" hidden="1">'Прайс-лист'!$B$9:$K$12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H10" i="1" s="1"/>
  <c r="G12" i="1"/>
  <c r="H12" i="1" s="1"/>
  <c r="G11" i="1"/>
  <c r="H11" i="1" s="1"/>
</calcChain>
</file>

<file path=xl/sharedStrings.xml><?xml version="1.0" encoding="utf-8"?>
<sst xmlns="http://schemas.openxmlformats.org/spreadsheetml/2006/main" count="27" uniqueCount="24">
  <si>
    <t>МНН</t>
  </si>
  <si>
    <t>Базовая цена</t>
  </si>
  <si>
    <t>Производитель</t>
  </si>
  <si>
    <t xml:space="preserve">Наименование </t>
  </si>
  <si>
    <t>№</t>
  </si>
  <si>
    <t>СП ООО «Samarkand England Eco-Medical»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</si>
  <si>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</si>
  <si>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</si>
  <si>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</si>
  <si>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</si>
  <si>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Доунарин р-р. для инф  100мл №1</t>
  </si>
  <si>
    <t>Элгинарин р-р. для инф 100мл №1</t>
  </si>
  <si>
    <t>Орг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</si>
  <si>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</si>
  <si>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</si>
  <si>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Amantadine sulfate</t>
  </si>
  <si>
    <t>L-arginine</t>
  </si>
  <si>
    <t xml:space="preserve"> L-arginine + Levocarnitine</t>
  </si>
  <si>
    <t>Прайс-лист на 01.11.2025</t>
  </si>
  <si>
    <t>Бронь</t>
  </si>
  <si>
    <t>Страна</t>
  </si>
  <si>
    <t>Узбекистан</t>
  </si>
  <si>
    <t>Адинтан Нео р-р. для инфузий 0,8мг/мл 200 мл №1</t>
  </si>
  <si>
    <t xml:space="preserve">ООО "Temur Med Farm"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</si>
</sst>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22"/>
  <sheetViews>
    <sheetView tabSelected="1" zoomScale="91" zoomScaleNormal="70" zoomScalePageLayoutView="40" workbookViewId="0">
      <selection activeCell="C10" sqref="C10:K10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4" customWidth="1"/>
    <col min="14" max="14" width="26" style="1" bestFit="1" customWidth="1"/>
    <col min="15" max="16384" width="8.83203125" style="1"/>
  </cols>
  <sheetData>
    <row r="3" spans="1:13">
      <c r="F3" s="2"/>
      <c r="G3" s="2"/>
      <c r="H3" s="2"/>
      <c r="I3" s="2"/>
    </row>
    <row r="4" spans="1:13" ht="36" customHeight="1">
      <c r="F4" s="2"/>
      <c r="G4" s="2"/>
      <c r="H4" s="2"/>
      <c r="I4" s="2"/>
    </row>
    <row r="5" spans="1:13">
      <c r="F5" s="2"/>
      <c r="G5" s="2"/>
      <c r="H5" s="2"/>
      <c r="I5" s="2"/>
    </row>
    <row r="6" spans="1:13" ht="49" customHeight="1">
      <c r="B6" s="18"/>
      <c r="C6" s="34" t="s">
        <v>6</v>
      </c>
      <c r="D6" s="34"/>
      <c r="E6" s="34"/>
      <c r="F6" s="34"/>
      <c r="G6" s="34"/>
      <c r="H6" s="34"/>
      <c r="I6" s="34"/>
      <c r="J6" s="34"/>
      <c r="K6" s="18"/>
    </row>
    <row r="7" spans="1:13" ht="49" customHeight="1">
      <c r="B7" s="19"/>
      <c r="C7" s="19"/>
      <c r="D7" s="32" t="s">
        <v>18</v>
      </c>
      <c r="E7" s="32"/>
      <c r="F7" s="32"/>
      <c r="G7" s="32"/>
      <c r="H7" s="32"/>
      <c r="I7" s="30"/>
      <c r="J7" s="19"/>
      <c r="K7" s="19"/>
    </row>
    <row r="8" spans="1:13" ht="24.75" customHeight="1">
      <c r="B8" s="9"/>
      <c r="C8" s="11"/>
      <c r="D8" s="5"/>
      <c r="E8" s="13"/>
      <c r="F8" s="6"/>
      <c r="G8" s="16">
        <v>15</v>
      </c>
      <c r="H8" s="16"/>
      <c r="I8" s="16"/>
      <c r="J8" s="31" t="s">
        <v>8</v>
      </c>
      <c r="K8" s="31"/>
    </row>
    <row r="9" spans="1:13" ht="83.25" customHeight="1">
      <c r="A9" s="20" t="s">
        <v>19</v>
      </c>
      <c r="B9" s="20" t="s">
        <v>4</v>
      </c>
      <c r="C9" s="20" t="s">
        <v>3</v>
      </c>
      <c r="D9" s="20" t="s">
        <v>12</v>
      </c>
      <c r="E9" s="20" t="s">
        <v>0</v>
      </c>
      <c r="F9" s="21" t="s">
        <v>1</v>
      </c>
      <c r="G9" s="21" t="s">
        <v>7</v>
      </c>
      <c r="H9" s="21" t="s">
        <v>9</v>
      </c>
      <c r="I9" s="22" t="s">
        <v>13</v>
      </c>
      <c r="J9" s="20" t="s">
        <v>2</v>
      </c>
      <c r="K9" s="22" t="s">
        <v>20</v>
      </c>
    </row>
    <row r="10" spans="1:13" s="8" customFormat="1" ht="48" customHeight="1">
      <c r="B10" s="24">
        <v>1</v>
      </c>
      <c r="C10" s="25" t="s">
        <v>22</v>
      </c>
      <c r="D10" s="26">
        <v>30</v>
      </c>
      <c r="E10" s="27" t="s">
        <v>15</v>
      </c>
      <c r="F10" s="28">
        <v>95400</v>
      </c>
      <c r="G10" s="28">
        <f t="shared" ref="G10" si="0">F10*(1+$G$8%)</f>
        <v>109709.99999999999</v>
      </c>
      <c r="H10" s="28">
        <f>+G10*1.12</f>
        <v>122875.2</v>
      </c>
      <c r="I10" s="29">
        <v>46388</v>
      </c>
      <c r="J10" s="26" t="s">
        <v>23</v>
      </c>
      <c r="K10" s="29" t="s">
        <v>21</v>
      </c>
      <c r="M10" s="15"/>
    </row>
    <row r="11" spans="1:13" ht="47" customHeight="1">
      <c r="B11" s="24">
        <v>2</v>
      </c>
      <c r="C11" s="25" t="s">
        <v>10</v>
      </c>
      <c r="D11" s="26">
        <v>40</v>
      </c>
      <c r="E11" s="27" t="s">
        <v>17</v>
      </c>
      <c r="F11" s="28">
        <v>55000</v>
      </c>
      <c r="G11" s="28">
        <f t="shared" ref="G10:G12" si="1">F11*(1+$G$8%)</f>
        <v>63249.999999999993</v>
      </c>
      <c r="H11" s="28">
        <f t="shared" ref="H11:H12" si="2">+G11*1.12</f>
        <v>70840</v>
      </c>
      <c r="I11" s="29">
        <v>46357</v>
      </c>
      <c r="J11" s="26" t="s">
        <v>5</v>
      </c>
      <c r="K11" s="29" t="s">
        <v>21</v>
      </c>
    </row>
    <row r="12" spans="1:13" ht="47" customHeight="1">
      <c r="B12" s="24">
        <v>3</v>
      </c>
      <c r="C12" s="25" t="s">
        <v>11</v>
      </c>
      <c r="D12" s="26">
        <v>40</v>
      </c>
      <c r="E12" s="27" t="s">
        <v>16</v>
      </c>
      <c r="F12" s="28">
        <v>44588</v>
      </c>
      <c r="G12" s="28">
        <f t="shared" si="1"/>
        <v>51276.2</v>
      </c>
      <c r="H12" s="28">
        <f t="shared" si="2"/>
        <v>57429.344000000005</v>
      </c>
      <c r="I12" s="29">
        <v>46296</v>
      </c>
      <c r="J12" s="26" t="s">
        <v>5</v>
      </c>
      <c r="K12" s="29" t="s">
        <v>21</v>
      </c>
    </row>
    <row r="13" spans="1:13">
      <c r="B13" s="1"/>
      <c r="C13" s="1"/>
      <c r="D13" s="1"/>
      <c r="E13" s="1"/>
      <c r="F13" s="1"/>
      <c r="G13" s="1"/>
      <c r="H13" s="1"/>
      <c r="I13" s="1"/>
      <c r="J13" s="1"/>
      <c r="K13" s="1"/>
    </row>
    <row r="15" spans="1:13" ht="130" customHeight="1">
      <c r="B15" s="33" t="s">
        <v>14</v>
      </c>
      <c r="C15" s="33"/>
      <c r="D15" s="33"/>
      <c r="E15" s="33"/>
      <c r="F15" s="33"/>
      <c r="G15" s="33"/>
      <c r="H15" s="33"/>
      <c r="I15" s="33"/>
      <c r="J15" s="33"/>
      <c r="K15" s="33"/>
    </row>
    <row r="16" spans="1:13">
      <c r="C16" s="1"/>
      <c r="D16" s="1"/>
      <c r="E16" s="1"/>
      <c r="F16" s="1"/>
      <c r="G16" s="1"/>
      <c r="H16" s="1"/>
      <c r="I16" s="1"/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K18" s="17"/>
    </row>
    <row r="19" spans="2:11">
      <c r="K19" s="23"/>
    </row>
    <row r="20" spans="2:11">
      <c r="K20" s="23"/>
    </row>
    <row r="21" spans="2:11">
      <c r="K21" s="17"/>
    </row>
    <row r="22" spans="2:11" ht="25" customHeight="1">
      <c r="K22" s="1"/>
    </row>
  </sheetData>
  <autoFilter ref="B9:K12" xr:uid="{00000000-0009-0000-0000-000000000000}"/>
  <mergeCells count="4">
    <mergeCell ref="J8:K8"/>
    <mergeCell ref="D7:H7"/>
    <mergeCell ref="B15:K15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2026-04-01T04:51:41Z</dcterms:modified>
</cp:coreProperties>
</file>