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4A6C0581-E966-AB41-9305-E79D63B70011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'Прайс-лист'!$B$9:$K$12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<sst xmlns="http://schemas.openxmlformats.org/spreadsheetml/2006/main" count="27" uniqueCount="24">
  <si>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</si>
  <si>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</si>
  <si>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</si>
  <si>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</si>
  <si>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</si>
  <si>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</si>
  <si>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</si>
  <si>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</si>
  <si>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</si>
  <si>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</si>
  <si>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Адинтан р-р. для инф  200 мл №1</t>
  </si>
  <si>
    <t>Доунарин р-р. для инф  100мл №1</t>
  </si>
  <si>
    <t>Элгинарин р-р. для инф 100мл №1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</si>
  <si>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</si>
  <si>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</si>
  <si>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</si>
  <si>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Amantadine sulfate</t>
  </si>
  <si>
    <t>L-arginine</t>
  </si>
  <si>
    <t xml:space="preserve"> L-arginine + Levocarnitine</t>
  </si>
  <si>
    <t>Прайс-лист на 01.11.2025</t>
  </si>
  <si>
    <t>Бронь</t>
  </si>
  <si>
    <t>Страна</t>
  </si>
  <si>
    <t>Узбекистан</t>
  </si>
  <si>
    <t xml:space="preserve">СП ООО "Reka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</si>
</sst>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2"/>
  <sheetViews>
    <sheetView tabSelected="1" zoomScale="91" zoomScaleNormal="70" zoomScalePageLayoutView="40" workbookViewId="0">
      <selection activeCell="B12" sqref="B12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6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19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8</v>
      </c>
      <c r="K8" s="31"/>
    </row>
    <row r="9" spans="1:13" ht="83.25" customHeight="1">
      <c r="A9" s="20" t="s">
        <v>20</v>
      </c>
      <c r="B9" s="20" t="s">
        <v>4</v>
      </c>
      <c r="C9" s="20" t="s">
        <v>3</v>
      </c>
      <c r="D9" s="20" t="s">
        <v>13</v>
      </c>
      <c r="E9" s="20" t="s">
        <v>0</v>
      </c>
      <c r="F9" s="21" t="s">
        <v>1</v>
      </c>
      <c r="G9" s="21" t="s">
        <v>7</v>
      </c>
      <c r="H9" s="21" t="s">
        <v>9</v>
      </c>
      <c r="I9" s="22" t="s">
        <v>14</v>
      </c>
      <c r="J9" s="20" t="s">
        <v>2</v>
      </c>
      <c r="K9" s="22" t="s">
        <v>21</v>
      </c>
    </row>
    <row r="10" spans="1:13" s="8" customFormat="1" ht="48" customHeight="1">
      <c r="B10" s="24">
        <v>1</v>
      </c>
      <c r="C10" s="25" t="s">
        <v>10</v>
      </c>
      <c r="D10" s="26">
        <v>28</v>
      </c>
      <c r="E10" s="27" t="s">
        <v>16</v>
      </c>
      <c r="F10" s="28">
        <v>95400</v>
      </c>
      <c r="G10" s="28">
        <f t="shared" ref="G10:G12" si="0">F10*(1+$G$8%)</f>
        <v>109709.99999999999</v>
      </c>
      <c r="H10" s="28">
        <f>+G10*1.12</f>
        <v>122875.2</v>
      </c>
      <c r="I10" s="29">
        <v>46388</v>
      </c>
      <c r="J10" s="26" t="s">
        <v>23</v>
      </c>
      <c r="K10" s="29" t="s">
        <v>22</v>
      </c>
      <c r="M10" s="15"/>
    </row>
    <row r="11" spans="1:13" ht="47" customHeight="1">
      <c r="B11" s="24">
        <v>2</v>
      </c>
      <c r="C11" s="25" t="s">
        <v>11</v>
      </c>
      <c r="D11" s="26">
        <v>40</v>
      </c>
      <c r="E11" s="27" t="s">
        <v>18</v>
      </c>
      <c r="F11" s="28">
        <v>55000</v>
      </c>
      <c r="G11" s="28">
        <f t="shared" si="0"/>
        <v>63249.999999999993</v>
      </c>
      <c r="H11" s="28">
        <f t="shared" ref="H11:H12" si="1">+G11*1.12</f>
        <v>70840</v>
      </c>
      <c r="I11" s="29">
        <v>46357</v>
      </c>
      <c r="J11" s="26" t="s">
        <v>5</v>
      </c>
      <c r="K11" s="29" t="s">
        <v>22</v>
      </c>
    </row>
    <row r="12" spans="1:13" ht="47" customHeight="1">
      <c r="B12" s="24">
        <v>3</v>
      </c>
      <c r="C12" s="25" t="s">
        <v>12</v>
      </c>
      <c r="D12" s="26">
        <v>40</v>
      </c>
      <c r="E12" s="27" t="s">
        <v>17</v>
      </c>
      <c r="F12" s="28">
        <v>44588</v>
      </c>
      <c r="G12" s="28">
        <f t="shared" si="0"/>
        <v>51276.2</v>
      </c>
      <c r="H12" s="28">
        <f t="shared" si="1"/>
        <v>57429.344000000005</v>
      </c>
      <c r="I12" s="29">
        <v>46296</v>
      </c>
      <c r="J12" s="26" t="s">
        <v>5</v>
      </c>
      <c r="K12" s="29" t="s">
        <v>22</v>
      </c>
    </row>
    <row r="13" spans="1:13">
      <c r="B13" s="1"/>
      <c r="C13" s="1"/>
      <c r="D13" s="1"/>
      <c r="E13" s="1"/>
      <c r="F13" s="1"/>
      <c r="G13" s="1"/>
      <c r="H13" s="1"/>
      <c r="I13" s="1"/>
      <c r="J13" s="1"/>
      <c r="K13" s="1"/>
    </row>
    <row r="15" spans="1:13" ht="130" customHeight="1">
      <c r="B15" s="33" t="s">
        <v>15</v>
      </c>
      <c r="C15" s="33"/>
      <c r="D15" s="33"/>
      <c r="E15" s="33"/>
      <c r="F15" s="33"/>
      <c r="G15" s="33"/>
      <c r="H15" s="33"/>
      <c r="I15" s="33"/>
      <c r="J15" s="33"/>
      <c r="K15" s="33"/>
    </row>
    <row r="16" spans="1:13">
      <c r="C16" s="1"/>
      <c r="D16" s="1"/>
      <c r="E16" s="1"/>
      <c r="F16" s="1"/>
      <c r="G16" s="1"/>
      <c r="H16" s="1"/>
      <c r="I16" s="1"/>
      <c r="J16" s="1"/>
      <c r="K16" s="1"/>
    </row>
    <row r="17" spans="2:11"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2:11">
      <c r="K18" s="17"/>
    </row>
    <row r="19" spans="2:11">
      <c r="K19" s="23"/>
    </row>
    <row r="20" spans="2:11">
      <c r="K20" s="23"/>
    </row>
    <row r="21" spans="2:11">
      <c r="K21" s="17"/>
    </row>
    <row r="22" spans="2:11" ht="25" customHeight="1">
      <c r="K22" s="1"/>
    </row>
  </sheetData>
  <autoFilter ref="B9:K12" xr:uid="{00000000-0009-0000-0000-000000000000}"/>
  <mergeCells count="4">
    <mergeCell ref="J8:K8"/>
    <mergeCell ref="D7:H7"/>
    <mergeCell ref="B15:K15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2026-02-02T07:07:27Z</dcterms:modified>
</cp:coreProperties>
</file>