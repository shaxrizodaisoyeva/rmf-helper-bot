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59D41644-A817-1041-B76F-67075D4C075B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</calcChain>
</file>

<file path=xl/sharedStrings.xml><?xml version="1.0" encoding="utf-8"?>
<sst xmlns="http://schemas.openxmlformats.org/spreadsheetml/2006/main" count="75" uniqueCount="57">
  <si>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</si>
  <si>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</si>
  <si>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</si>
  <si>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</si>
  <si>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</si>
  <si>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</si>
  <si>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</si>
  <si>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</si>
  <si>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</si>
  <si>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</si>
  <si>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</si>
  <si>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</si>
  <si>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Адинтан р-р. для инф  200 мл №1</t>
  </si>
  <si>
    <t>Ангиотрен р-р. для инф  200мл №1</t>
  </si>
  <si>
    <t>Доунарин р-р. для инф  100мл №1</t>
  </si>
  <si>
    <t>Зотокам 1,125г пор для инък №1</t>
  </si>
  <si>
    <t>Рангор р-р для инъек 100 мг 5мл №5</t>
  </si>
  <si>
    <t>Рогинолит р-р. для инф 200 мл №1</t>
  </si>
  <si>
    <t>Элоксилит р-р. для инф 250 мл №1</t>
  </si>
  <si>
    <t>Элгинарин р-р. для инф 100мл №1</t>
  </si>
  <si>
    <t>Форкард раствор для инъекций  10% 5мл №10</t>
  </si>
  <si>
    <t>OOO BAYAN MEDICAL</t>
  </si>
  <si>
    <t>Орг</t>
  </si>
  <si>
    <t>Неодексон р-р. для инф  100 мл №1</t>
  </si>
  <si>
    <t>Ангисем р-р. для инф   100 мл №1</t>
  </si>
  <si>
    <t>Семпер р-р. для инф 200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</si>
  <si>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</si>
  <si>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</si>
  <si>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</si>
  <si>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</si>
  <si>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Миранол Раствор для внутривенного введения 50мл стеклянные флаконы</t>
  </si>
  <si>
    <t>Софин Раствор для инфузий 5 % 100мл стеклянные флаконы</t>
  </si>
  <si>
    <t>Эпсол Раствор для инфузий 12 мг/мл 50мл стеклянные флаконы</t>
  </si>
  <si>
    <t>Amantadine sulfate</t>
  </si>
  <si>
    <t>Ceftriaxone – 1000 mg + tazobactam – 125 mg (Ceftriaxone + tazobactam)</t>
  </si>
  <si>
    <t>KMA (potassium hydroxide, magnesium oxide, L-aspartic acid)</t>
  </si>
  <si>
    <t>Tranexamic acid</t>
  </si>
  <si>
    <t>Combination drug: (xylitol, sodium chloride, potassium chloride, calcium chloride, magnesium chloride, sodium acetate.)</t>
  </si>
  <si>
    <t>sulbactam + cefoperazone</t>
  </si>
  <si>
    <t>Arginine + levocarnitine + citicoline</t>
  </si>
  <si>
    <t>Fructose-1,6-sodium diphosphate</t>
  </si>
  <si>
    <t>Thioctic acid</t>
  </si>
  <si>
    <t>Pentoxifilinе</t>
  </si>
  <si>
    <t>L-arginine</t>
  </si>
  <si>
    <t>Мeldonium</t>
  </si>
  <si>
    <t>Sorbitol, sodium lactate, sodium chloride,
potassium chloride, calcium chloride, magnesium chloride</t>
  </si>
  <si>
    <t xml:space="preserve"> L-arginine + Levocarnitine</t>
  </si>
  <si>
    <t>Ландиос Раствор для инфузий 100мл стеклянные флаконы</t>
  </si>
  <si>
    <t>ком.лек (лизин + эсцин)</t>
  </si>
  <si>
    <t>Прайс-лист на 01.11.2025</t>
  </si>
  <si>
    <t>Рогинолит р-р. для инф 100 мл №1</t>
  </si>
  <si>
    <t>Ангисем р-р. для инф   250 мл №1</t>
  </si>
  <si>
    <t>Бронь</t>
  </si>
  <si>
    <t>Сухой цена</t>
  </si>
  <si>
    <t>СП ООО "Reka Med Farm" Узбекистан</t>
  </si>
  <si>
    <t>ООО Temur Med Farm Узбекистан</t>
  </si>
  <si>
    <t>MSME Synapse Pharmatech Индия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</si>
</sst>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3" fontId="17" fillId="0" borderId="3" xfId="0" applyNumberFormat="1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3" fontId="17" fillId="0" borderId="3" xfId="0" applyNumberFormat="1" applyFont="1" applyBorder="1" applyAlignment="1">
      <alignment horizontal="center" vertical="center" wrapText="1"/>
    </xf>
    <xf numFmtId="14" fontId="18" fillId="0" borderId="3" xfId="0" applyNumberFormat="1" applyFont="1" applyBorder="1" applyAlignment="1">
      <alignment horizontal="center" vertical="center" wrapText="1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9"/>
  <sheetViews>
    <sheetView tabSelected="1" topLeftCell="A5" zoomScale="91" zoomScaleNormal="70" zoomScalePageLayoutView="40" workbookViewId="0">
      <selection activeCell="B32" sqref="B32:K32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5" t="s">
        <v>8</v>
      </c>
      <c r="D6" s="35"/>
      <c r="E6" s="35"/>
      <c r="F6" s="35"/>
      <c r="G6" s="35"/>
      <c r="H6" s="35"/>
      <c r="I6" s="35"/>
      <c r="J6" s="35"/>
      <c r="K6" s="18"/>
    </row>
    <row r="7" spans="1:13" ht="49" customHeight="1">
      <c r="B7" s="19"/>
      <c r="C7" s="19"/>
      <c r="D7" s="33" t="s">
        <v>49</v>
      </c>
      <c r="E7" s="33"/>
      <c r="F7" s="33"/>
      <c r="G7" s="33"/>
      <c r="H7" s="33"/>
      <c r="I7" s="31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2" t="s">
        <v>10</v>
      </c>
      <c r="K8" s="32"/>
    </row>
    <row r="9" spans="1:13" ht="83.25" customHeight="1">
      <c r="A9" s="20" t="s">
        <v>52</v>
      </c>
      <c r="B9" s="20" t="s">
        <v>4</v>
      </c>
      <c r="C9" s="20" t="s">
        <v>3</v>
      </c>
      <c r="D9" s="20" t="s">
        <v>22</v>
      </c>
      <c r="E9" s="20" t="s">
        <v>0</v>
      </c>
      <c r="F9" s="20" t="s">
        <v>53</v>
      </c>
      <c r="G9" s="21" t="s">
        <v>1</v>
      </c>
      <c r="H9" s="21" t="s">
        <v>9</v>
      </c>
      <c r="I9" s="21" t="s">
        <v>11</v>
      </c>
      <c r="J9" s="20" t="s">
        <v>2</v>
      </c>
      <c r="K9" s="22" t="s">
        <v>27</v>
      </c>
    </row>
    <row r="10" spans="1:13" s="8" customFormat="1" ht="48" customHeight="1">
      <c r="B10" s="24">
        <v>1</v>
      </c>
      <c r="C10" s="25" t="s">
        <v>12</v>
      </c>
      <c r="D10" s="26">
        <v>28</v>
      </c>
      <c r="E10" s="27" t="s">
        <v>33</v>
      </c>
      <c r="F10" s="28">
        <v>47700</v>
      </c>
      <c r="G10" s="28">
        <v>95400</v>
      </c>
      <c r="H10" s="28">
        <f t="shared" ref="H10:H23" si="0">G10*(1+$H$8%)</f>
        <v>95400</v>
      </c>
      <c r="I10" s="28">
        <f>+H10*1.12</f>
        <v>106848.00000000001</v>
      </c>
      <c r="J10" s="26" t="s">
        <v>54</v>
      </c>
      <c r="K10" s="29">
        <v>46388</v>
      </c>
      <c r="M10" s="15"/>
    </row>
    <row r="11" spans="1:13" ht="47" customHeight="1">
      <c r="B11" s="24">
        <v>2</v>
      </c>
      <c r="C11" s="25" t="s">
        <v>13</v>
      </c>
      <c r="D11" s="26">
        <v>28</v>
      </c>
      <c r="E11" s="27" t="s">
        <v>42</v>
      </c>
      <c r="F11" s="28">
        <v>18045.440000000002</v>
      </c>
      <c r="G11" s="28">
        <v>37000</v>
      </c>
      <c r="H11" s="28">
        <f t="shared" si="0"/>
        <v>37000</v>
      </c>
      <c r="I11" s="28">
        <f t="shared" ref="I11:I29" si="1">+H11*1.12</f>
        <v>41440.000000000007</v>
      </c>
      <c r="J11" s="26" t="s">
        <v>54</v>
      </c>
      <c r="K11" s="29">
        <v>46296</v>
      </c>
    </row>
    <row r="12" spans="1:13" ht="47" customHeight="1">
      <c r="B12" s="24">
        <v>3</v>
      </c>
      <c r="C12" s="25" t="s">
        <v>24</v>
      </c>
      <c r="D12" s="26">
        <v>40</v>
      </c>
      <c r="E12" s="27" t="s">
        <v>42</v>
      </c>
      <c r="F12" s="28">
        <v>16000</v>
      </c>
      <c r="G12" s="28">
        <v>38000</v>
      </c>
      <c r="H12" s="28">
        <f t="shared" si="0"/>
        <v>38000</v>
      </c>
      <c r="I12" s="28">
        <f t="shared" si="1"/>
        <v>42560.000000000007</v>
      </c>
      <c r="J12" s="26" t="s">
        <v>6</v>
      </c>
      <c r="K12" s="29">
        <v>46357</v>
      </c>
    </row>
    <row r="13" spans="1:13" ht="47" customHeight="1">
      <c r="B13" s="24">
        <v>4</v>
      </c>
      <c r="C13" s="25" t="s">
        <v>51</v>
      </c>
      <c r="D13" s="26">
        <v>40</v>
      </c>
      <c r="E13" s="27" t="s">
        <v>42</v>
      </c>
      <c r="F13" s="28">
        <v>16800</v>
      </c>
      <c r="G13" s="28">
        <v>43000</v>
      </c>
      <c r="H13" s="28">
        <f t="shared" si="0"/>
        <v>43000</v>
      </c>
      <c r="I13" s="28">
        <f t="shared" si="1"/>
        <v>48160.000000000007</v>
      </c>
      <c r="J13" s="26" t="s">
        <v>6</v>
      </c>
      <c r="K13" s="29">
        <v>46447</v>
      </c>
    </row>
    <row r="14" spans="1:13" ht="47" customHeight="1">
      <c r="B14" s="24">
        <v>5</v>
      </c>
      <c r="C14" s="25" t="s">
        <v>14</v>
      </c>
      <c r="D14" s="26">
        <v>40</v>
      </c>
      <c r="E14" s="27" t="s">
        <v>46</v>
      </c>
      <c r="F14" s="28">
        <v>25000</v>
      </c>
      <c r="G14" s="28">
        <v>55000</v>
      </c>
      <c r="H14" s="28">
        <f t="shared" si="0"/>
        <v>55000</v>
      </c>
      <c r="I14" s="28">
        <f t="shared" si="1"/>
        <v>61600.000000000007</v>
      </c>
      <c r="J14" s="26" t="s">
        <v>6</v>
      </c>
      <c r="K14" s="29">
        <v>46357</v>
      </c>
    </row>
    <row r="15" spans="1:13" ht="47" customHeight="1">
      <c r="B15" s="24">
        <v>6</v>
      </c>
      <c r="C15" s="25" t="s">
        <v>15</v>
      </c>
      <c r="D15" s="26">
        <v>240</v>
      </c>
      <c r="E15" s="27" t="s">
        <v>34</v>
      </c>
      <c r="F15" s="28">
        <v>21000</v>
      </c>
      <c r="G15" s="28">
        <v>45000</v>
      </c>
      <c r="H15" s="28">
        <f t="shared" si="0"/>
        <v>45000</v>
      </c>
      <c r="I15" s="28">
        <f t="shared" si="1"/>
        <v>50400.000000000007</v>
      </c>
      <c r="J15" s="26" t="s">
        <v>7</v>
      </c>
      <c r="K15" s="29">
        <v>46296</v>
      </c>
    </row>
    <row r="16" spans="1:13" ht="47" customHeight="1">
      <c r="B16" s="24">
        <v>7</v>
      </c>
      <c r="C16" s="25" t="s">
        <v>26</v>
      </c>
      <c r="D16" s="26">
        <v>40</v>
      </c>
      <c r="E16" s="27" t="s">
        <v>35</v>
      </c>
      <c r="F16" s="28">
        <v>17024</v>
      </c>
      <c r="G16" s="28">
        <v>37000</v>
      </c>
      <c r="H16" s="28">
        <f t="shared" si="0"/>
        <v>37000</v>
      </c>
      <c r="I16" s="28">
        <f t="shared" si="1"/>
        <v>41440.000000000007</v>
      </c>
      <c r="J16" s="26" t="s">
        <v>6</v>
      </c>
      <c r="K16" s="29">
        <v>46327</v>
      </c>
    </row>
    <row r="17" spans="2:11" ht="47" customHeight="1">
      <c r="B17" s="24">
        <v>8</v>
      </c>
      <c r="C17" s="25" t="s">
        <v>47</v>
      </c>
      <c r="D17" s="26">
        <v>40</v>
      </c>
      <c r="E17" s="27" t="s">
        <v>48</v>
      </c>
      <c r="F17" s="28">
        <v>31000</v>
      </c>
      <c r="G17" s="28">
        <v>64700</v>
      </c>
      <c r="H17" s="28">
        <f t="shared" si="0"/>
        <v>64700</v>
      </c>
      <c r="I17" s="28">
        <f t="shared" si="1"/>
        <v>72464</v>
      </c>
      <c r="J17" s="26" t="s">
        <v>55</v>
      </c>
      <c r="K17" s="29">
        <v>46600</v>
      </c>
    </row>
    <row r="18" spans="2:11" ht="47" customHeight="1">
      <c r="B18" s="24">
        <v>9</v>
      </c>
      <c r="C18" s="25" t="s">
        <v>30</v>
      </c>
      <c r="D18" s="26">
        <v>50</v>
      </c>
      <c r="E18" s="27" t="s">
        <v>39</v>
      </c>
      <c r="F18" s="28">
        <v>40000</v>
      </c>
      <c r="G18" s="28">
        <v>90000</v>
      </c>
      <c r="H18" s="28">
        <f t="shared" si="0"/>
        <v>90000</v>
      </c>
      <c r="I18" s="28">
        <f t="shared" si="1"/>
        <v>100800.00000000001</v>
      </c>
      <c r="J18" s="26" t="s">
        <v>55</v>
      </c>
      <c r="K18" s="29">
        <v>46600</v>
      </c>
    </row>
    <row r="19" spans="2:11" ht="47" customHeight="1">
      <c r="B19" s="24">
        <v>10</v>
      </c>
      <c r="C19" s="25" t="s">
        <v>23</v>
      </c>
      <c r="D19" s="26">
        <v>40</v>
      </c>
      <c r="E19" s="27" t="s">
        <v>43</v>
      </c>
      <c r="F19" s="28">
        <v>19600.000000000004</v>
      </c>
      <c r="G19" s="28">
        <v>44588</v>
      </c>
      <c r="H19" s="28">
        <f t="shared" si="0"/>
        <v>44588</v>
      </c>
      <c r="I19" s="28">
        <f t="shared" si="1"/>
        <v>49938.560000000005</v>
      </c>
      <c r="J19" s="26" t="s">
        <v>6</v>
      </c>
      <c r="K19" s="29">
        <v>46296</v>
      </c>
    </row>
    <row r="20" spans="2:11" ht="47" customHeight="1">
      <c r="B20" s="24">
        <v>11</v>
      </c>
      <c r="C20" s="25" t="s">
        <v>16</v>
      </c>
      <c r="D20" s="26">
        <v>60</v>
      </c>
      <c r="E20" s="27" t="s">
        <v>44</v>
      </c>
      <c r="F20" s="28">
        <v>18995.2</v>
      </c>
      <c r="G20" s="28">
        <v>40700</v>
      </c>
      <c r="H20" s="28">
        <f t="shared" si="0"/>
        <v>40700</v>
      </c>
      <c r="I20" s="28">
        <f t="shared" si="1"/>
        <v>45584.000000000007</v>
      </c>
      <c r="J20" s="26" t="s">
        <v>5</v>
      </c>
      <c r="K20" s="29">
        <v>46296</v>
      </c>
    </row>
    <row r="21" spans="2:11" ht="47" customHeight="1">
      <c r="B21" s="24">
        <v>12</v>
      </c>
      <c r="C21" s="25" t="s">
        <v>50</v>
      </c>
      <c r="D21" s="26">
        <v>40</v>
      </c>
      <c r="E21" s="27" t="s">
        <v>45</v>
      </c>
      <c r="F21" s="28">
        <v>13776.000000000002</v>
      </c>
      <c r="G21" s="28">
        <v>33500</v>
      </c>
      <c r="H21" s="28">
        <f t="shared" si="0"/>
        <v>33500</v>
      </c>
      <c r="I21" s="28">
        <f t="shared" si="1"/>
        <v>37520</v>
      </c>
      <c r="J21" s="26" t="s">
        <v>6</v>
      </c>
      <c r="K21" s="29">
        <v>46296</v>
      </c>
    </row>
    <row r="22" spans="2:11" ht="47" customHeight="1">
      <c r="B22" s="24">
        <v>13</v>
      </c>
      <c r="C22" s="25" t="s">
        <v>17</v>
      </c>
      <c r="D22" s="26">
        <v>20</v>
      </c>
      <c r="E22" s="27" t="s">
        <v>45</v>
      </c>
      <c r="F22" s="28">
        <v>18480</v>
      </c>
      <c r="G22" s="28">
        <v>40000</v>
      </c>
      <c r="H22" s="28">
        <f t="shared" si="0"/>
        <v>40000</v>
      </c>
      <c r="I22" s="28">
        <f t="shared" si="1"/>
        <v>44800.000000000007</v>
      </c>
      <c r="J22" s="26" t="s">
        <v>6</v>
      </c>
      <c r="K22" s="29">
        <v>46296</v>
      </c>
    </row>
    <row r="23" spans="2:11" ht="47" customHeight="1">
      <c r="B23" s="24">
        <v>14</v>
      </c>
      <c r="C23" s="25" t="s">
        <v>25</v>
      </c>
      <c r="D23" s="26">
        <v>28</v>
      </c>
      <c r="E23" s="27" t="s">
        <v>45</v>
      </c>
      <c r="F23" s="28">
        <v>18480</v>
      </c>
      <c r="G23" s="28">
        <v>40000</v>
      </c>
      <c r="H23" s="28">
        <f t="shared" si="0"/>
        <v>40000</v>
      </c>
      <c r="I23" s="28">
        <f t="shared" si="1"/>
        <v>44800.000000000007</v>
      </c>
      <c r="J23" s="26" t="s">
        <v>54</v>
      </c>
      <c r="K23" s="29">
        <v>46661</v>
      </c>
    </row>
    <row r="24" spans="2:11" ht="47" customHeight="1">
      <c r="B24" s="24">
        <v>15</v>
      </c>
      <c r="C24" s="30" t="s">
        <v>29</v>
      </c>
      <c r="D24" s="26">
        <v>200</v>
      </c>
      <c r="E24" s="27" t="s">
        <v>38</v>
      </c>
      <c r="F24" s="28">
        <v>23800</v>
      </c>
      <c r="G24" s="28">
        <v>43167.44</v>
      </c>
      <c r="H24" s="28">
        <f>G24*1.15</f>
        <v>49642.555999999997</v>
      </c>
      <c r="I24" s="28">
        <f>H24*1.12</f>
        <v>55599.66272</v>
      </c>
      <c r="J24" s="26" t="s">
        <v>56</v>
      </c>
      <c r="K24" s="29">
        <v>46447</v>
      </c>
    </row>
    <row r="25" spans="2:11" ht="47" customHeight="1">
      <c r="B25" s="36">
        <v>16</v>
      </c>
      <c r="C25" s="37" t="s">
        <v>20</v>
      </c>
      <c r="D25" s="38">
        <v>60</v>
      </c>
      <c r="E25" s="39" t="s">
        <v>36</v>
      </c>
      <c r="F25" s="40">
        <v>72000</v>
      </c>
      <c r="G25" s="40">
        <v>145000</v>
      </c>
      <c r="H25" s="40">
        <f>G25*1.03</f>
        <v>149350</v>
      </c>
      <c r="I25" s="40">
        <f>H25*1.12</f>
        <v>167272.00000000003</v>
      </c>
      <c r="J25" s="38" t="s">
        <v>21</v>
      </c>
      <c r="K25" s="41">
        <v>46419</v>
      </c>
    </row>
    <row r="26" spans="2:11" ht="47" customHeight="1">
      <c r="B26" s="24">
        <v>17</v>
      </c>
      <c r="C26" s="25" t="s">
        <v>31</v>
      </c>
      <c r="D26" s="26">
        <v>40</v>
      </c>
      <c r="E26" s="27" t="s">
        <v>40</v>
      </c>
      <c r="F26" s="28">
        <v>50000</v>
      </c>
      <c r="G26" s="28">
        <v>120000</v>
      </c>
      <c r="H26" s="28">
        <f>G26*(1+$H$8%)</f>
        <v>120000</v>
      </c>
      <c r="I26" s="28">
        <f t="shared" si="1"/>
        <v>134400</v>
      </c>
      <c r="J26" s="26" t="s">
        <v>55</v>
      </c>
      <c r="K26" s="29">
        <v>46600</v>
      </c>
    </row>
    <row r="27" spans="2:11" ht="47" customHeight="1">
      <c r="B27" s="24">
        <v>18</v>
      </c>
      <c r="C27" s="25" t="s">
        <v>18</v>
      </c>
      <c r="D27" s="26">
        <v>20</v>
      </c>
      <c r="E27" s="27" t="s">
        <v>37</v>
      </c>
      <c r="F27" s="28">
        <v>20500</v>
      </c>
      <c r="G27" s="28">
        <v>41800</v>
      </c>
      <c r="H27" s="28">
        <f>G27*(1+$H$8%)</f>
        <v>41800</v>
      </c>
      <c r="I27" s="28">
        <f t="shared" si="1"/>
        <v>46816.000000000007</v>
      </c>
      <c r="J27" s="26" t="s">
        <v>6</v>
      </c>
      <c r="K27" s="29">
        <v>46296</v>
      </c>
    </row>
    <row r="28" spans="2:11" ht="47" customHeight="1">
      <c r="B28" s="24">
        <v>19</v>
      </c>
      <c r="C28" s="25" t="s">
        <v>19</v>
      </c>
      <c r="D28" s="26">
        <v>40</v>
      </c>
      <c r="E28" s="27" t="s">
        <v>43</v>
      </c>
      <c r="F28" s="28">
        <v>18000</v>
      </c>
      <c r="G28" s="28">
        <v>44588</v>
      </c>
      <c r="H28" s="28">
        <f>G28*(1+$H$8%)</f>
        <v>44588</v>
      </c>
      <c r="I28" s="28">
        <f t="shared" si="1"/>
        <v>49938.560000000005</v>
      </c>
      <c r="J28" s="26" t="s">
        <v>6</v>
      </c>
      <c r="K28" s="29">
        <v>46296</v>
      </c>
    </row>
    <row r="29" spans="2:11" ht="47" customHeight="1">
      <c r="B29" s="24">
        <v>20</v>
      </c>
      <c r="C29" s="25" t="s">
        <v>32</v>
      </c>
      <c r="D29" s="26">
        <v>50</v>
      </c>
      <c r="E29" s="27" t="s">
        <v>41</v>
      </c>
      <c r="F29" s="28">
        <v>33000</v>
      </c>
      <c r="G29" s="28">
        <v>65000</v>
      </c>
      <c r="H29" s="28">
        <f>G29*(1+$H$8%)</f>
        <v>65000</v>
      </c>
      <c r="I29" s="28">
        <f t="shared" si="1"/>
        <v>72800</v>
      </c>
      <c r="J29" s="26" t="s">
        <v>55</v>
      </c>
      <c r="K29" s="29">
        <v>46600</v>
      </c>
    </row>
    <row r="30" spans="2:11">
      <c r="B30" s="1"/>
      <c r="C30" s="1"/>
      <c r="D30" s="1"/>
      <c r="E30" s="1"/>
      <c r="F30" s="1"/>
      <c r="G30" s="1"/>
      <c r="H30" s="1"/>
      <c r="I30" s="1"/>
      <c r="J30" s="1"/>
      <c r="K30" s="1"/>
    </row>
    <row r="32" spans="2:11" ht="130" customHeight="1">
      <c r="B32" s="34" t="s">
        <v>28</v>
      </c>
      <c r="C32" s="34"/>
      <c r="D32" s="34"/>
      <c r="E32" s="34"/>
      <c r="F32" s="34"/>
      <c r="G32" s="34"/>
      <c r="H32" s="34"/>
      <c r="I32" s="34"/>
      <c r="J32" s="34"/>
      <c r="K32" s="34"/>
    </row>
    <row r="33" spans="2:11"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K35" s="17"/>
    </row>
    <row r="36" spans="2:11">
      <c r="K36" s="23"/>
    </row>
    <row r="37" spans="2:11">
      <c r="K37" s="23"/>
    </row>
    <row r="38" spans="2:11">
      <c r="K38" s="17"/>
    </row>
    <row r="39" spans="2:11" ht="25" customHeight="1">
      <c r="K39" s="1"/>
    </row>
  </sheetData>
  <autoFilter ref="B9:K29" xr:uid="{00000000-0009-0000-0000-000000000000}"/>
  <mergeCells count="4">
    <mergeCell ref="J8:K8"/>
    <mergeCell ref="D7:H7"/>
    <mergeCell ref="B32:K32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2026-03-02T05:26:42Z</dcterms:modified>
</cp:coreProperties>
</file>