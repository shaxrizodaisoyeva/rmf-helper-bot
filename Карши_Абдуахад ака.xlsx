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13_ncr:1_{BBF6A0E6-8D90-6A4A-AE10-526E5EFDE716}" xr6:coauthVersionLast="47" xr6:coauthVersionMax="47" xr10:uidLastSave="{00000000-0000-0000-0000-000000000000}"/>
  <bookViews>
    <workbookView xWindow="38400" yWindow="2480" windowWidth="29400" windowHeight="18460" xr2:uid="{00000000-000D-0000-FFFF-FFFF00000000}"/>
  </bookViews>
  <sheets>
    <sheet name="Прайс-лист" sheetId="1" r:id="rId1"/>
  </sheets>
  <definedNames>
    <definedName name="_xlnm._FilterDatabase" localSheetId="0" hidden="1">'Прайс-лист'!$B$9:$K$10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H11" i="1" s="1"/>
  <c r="G10" i="1" l="1"/>
  <c r="H10" i="1" s="1"/>
</calcChain>
</file>

<file path=xl/sharedStrings.xml><?xml version="1.0" encoding="utf-8"?>
<sst xmlns="http://schemas.openxmlformats.org/spreadsheetml/2006/main" count="23" uniqueCount="22">
  <si>
    <t>МНН</t>
  </si>
  <si>
    <t>Базовая цена</t>
  </si>
  <si>
    <t>Производитель</t>
  </si>
  <si>
    <t xml:space="preserve">Наименование </t>
  </si>
  <si>
    <t>№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</si>
  <si>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</si>
  <si>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</si>
  <si>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</si>
  <si>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</si>
  <si>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Орг</t>
  </si>
  <si>
    <t>Семпер р-р. для инф 200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</si>
  <si>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</si>
  <si>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</si>
  <si>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Levofloxacin</t>
  </si>
  <si>
    <t>Sorbitol, sodium lactate, sodium chloride,
potassium chloride, calcium chloride, magnesium chloride</t>
  </si>
  <si>
    <t>Прайс-лист на 01.11.2025</t>
  </si>
  <si>
    <t>Бронь</t>
  </si>
  <si>
    <t>Страна</t>
  </si>
  <si>
    <t>Узбекистан</t>
  </si>
  <si>
    <t xml:space="preserve">СП ООО "Reka Med Farm" </t>
  </si>
  <si>
    <t>Клофакс Раствор для инфузий 5 мг/мл 100 мл №1</t>
  </si>
  <si>
    <t>Samarkand England Eco-Medical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</si>
</sst>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1"/>
  <sheetViews>
    <sheetView tabSelected="1" zoomScale="91" zoomScaleNormal="70" zoomScalePageLayoutView="40" workbookViewId="0">
      <selection activeCell="H12" sqref="H12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2" t="s">
        <v>5</v>
      </c>
      <c r="D6" s="32"/>
      <c r="E6" s="32"/>
      <c r="F6" s="32"/>
      <c r="G6" s="32"/>
      <c r="H6" s="32"/>
      <c r="I6" s="32"/>
      <c r="J6" s="32"/>
      <c r="K6" s="16"/>
    </row>
    <row r="7" spans="1:11" ht="49" customHeight="1">
      <c r="B7" s="17"/>
      <c r="C7" s="17"/>
      <c r="D7" s="30" t="s">
        <v>15</v>
      </c>
      <c r="E7" s="30"/>
      <c r="F7" s="30"/>
      <c r="G7" s="30"/>
      <c r="H7" s="30"/>
      <c r="I7" s="28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29" t="s">
        <v>7</v>
      </c>
      <c r="K8" s="29"/>
    </row>
    <row r="9" spans="1:11" ht="83.25" customHeight="1">
      <c r="A9" s="18" t="s">
        <v>16</v>
      </c>
      <c r="B9" s="18" t="s">
        <v>4</v>
      </c>
      <c r="C9" s="18" t="s">
        <v>3</v>
      </c>
      <c r="D9" s="18" t="s">
        <v>9</v>
      </c>
      <c r="E9" s="18" t="s">
        <v>0</v>
      </c>
      <c r="F9" s="19" t="s">
        <v>1</v>
      </c>
      <c r="G9" s="19" t="s">
        <v>6</v>
      </c>
      <c r="H9" s="19" t="s">
        <v>8</v>
      </c>
      <c r="I9" s="20" t="s">
        <v>11</v>
      </c>
      <c r="J9" s="18" t="s">
        <v>2</v>
      </c>
      <c r="K9" s="20" t="s">
        <v>17</v>
      </c>
    </row>
    <row r="10" spans="1:11" ht="47" customHeight="1">
      <c r="B10" s="22">
        <v>1</v>
      </c>
      <c r="C10" s="23" t="s">
        <v>10</v>
      </c>
      <c r="D10" s="24">
        <v>28</v>
      </c>
      <c r="E10" s="25" t="s">
        <v>14</v>
      </c>
      <c r="F10" s="26">
        <v>40000</v>
      </c>
      <c r="G10" s="26">
        <f t="shared" ref="G10" si="0">F10*(1+$G$8%)</f>
        <v>46000</v>
      </c>
      <c r="H10" s="26">
        <f t="shared" ref="H10" si="1">+G10*1.12</f>
        <v>51520.000000000007</v>
      </c>
      <c r="I10" s="27">
        <v>46661</v>
      </c>
      <c r="J10" s="24" t="s">
        <v>19</v>
      </c>
      <c r="K10" s="27" t="s">
        <v>18</v>
      </c>
    </row>
    <row r="11" spans="1:11" ht="47" customHeight="1">
      <c r="B11" s="22">
        <v>2</v>
      </c>
      <c r="C11" s="23" t="s">
        <v>20</v>
      </c>
      <c r="D11" s="24"/>
      <c r="E11" s="25" t="s">
        <v>13</v>
      </c>
      <c r="F11" s="26">
        <v>37000</v>
      </c>
      <c r="G11" s="26">
        <f t="shared" ref="G11" si="2">F11*(1+$G$8%)</f>
        <v>42550</v>
      </c>
      <c r="H11" s="26">
        <f t="shared" ref="H11" si="3">+G11*1.12</f>
        <v>47656.000000000007</v>
      </c>
      <c r="I11" s="27"/>
      <c r="J11" s="24" t="s">
        <v>21</v>
      </c>
      <c r="K11" s="27" t="s">
        <v>18</v>
      </c>
    </row>
    <row r="12" spans="1:11">
      <c r="B12" s="1"/>
      <c r="C12" s="1"/>
      <c r="D12" s="1"/>
      <c r="E12" s="1"/>
      <c r="F12" s="1"/>
      <c r="G12" s="1"/>
      <c r="H12" s="1"/>
      <c r="I12" s="1"/>
      <c r="J12" s="1"/>
      <c r="K12" s="1"/>
    </row>
    <row r="14" spans="1:11" ht="130" customHeight="1">
      <c r="B14" s="31" t="s">
        <v>12</v>
      </c>
      <c r="C14" s="31"/>
      <c r="D14" s="31"/>
      <c r="E14" s="31"/>
      <c r="F14" s="31"/>
      <c r="G14" s="31"/>
      <c r="H14" s="31"/>
      <c r="I14" s="31"/>
      <c r="J14" s="31"/>
      <c r="K14" s="31"/>
    </row>
    <row r="15" spans="1:11"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1:11">
      <c r="K17" s="15"/>
    </row>
    <row r="18" spans="11:11">
      <c r="K18" s="21"/>
    </row>
    <row r="19" spans="11:11">
      <c r="K19" s="21"/>
    </row>
    <row r="20" spans="11:11">
      <c r="K20" s="15"/>
    </row>
    <row r="21" spans="11:11" ht="25" customHeight="1">
      <c r="K21" s="1"/>
    </row>
  </sheetData>
  <autoFilter ref="B9:K10" xr:uid="{00000000-0009-0000-0000-000000000000}"/>
  <mergeCells count="4">
    <mergeCell ref="J8:K8"/>
    <mergeCell ref="D7:H7"/>
    <mergeCell ref="B14:K14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2026-02-02T09:40:29Z</dcterms:modified>
</cp:coreProperties>
</file>