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B5DFE800-B9D6-AA41-A6BD-2B1E279B4561}" xr6:coauthVersionLast="47" xr6:coauthVersionMax="47" xr10:uidLastSave="{00000000-0000-0000-0000-000000000000}"/>
  <bookViews>
    <workbookView xWindow="0" yWindow="680" windowWidth="38400" windowHeight="16640" xr2:uid="{00000000-000D-0000-FFFF-FFFF00000000}"/>
  </bookViews>
  <sheets>
    <sheet name="Прайс-лист" sheetId="1" r:id="rId1"/>
  </sheets>
  <definedNames>
    <definedName name="_xlnm._FilterDatabase" localSheetId="0" hidden="1">'Прайс-лист'!$B$9:$J$27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26" i="1"/>
  <c r="G34" i="1"/>
  <c r="H34" i="1" s="1"/>
  <c r="G33" i="1"/>
  <c r="H33" i="1" s="1"/>
  <c r="G32" i="1"/>
  <c r="H32" i="1" s="1"/>
  <c r="G31" i="1"/>
  <c r="H31" i="1" s="1"/>
  <c r="G30" i="1" l="1"/>
  <c r="H30" i="1" s="1"/>
  <c r="G29" i="1"/>
  <c r="H29" i="1" s="1"/>
  <c r="G21" i="1"/>
  <c r="H21" i="1" s="1"/>
  <c r="G28" i="1" l="1"/>
  <c r="H28" i="1" s="1"/>
  <c r="G24" i="1"/>
  <c r="H24" i="1" s="1"/>
  <c r="G17" i="1"/>
  <c r="H17" i="1" s="1"/>
  <c r="G19" i="1"/>
  <c r="H19" i="1" s="1"/>
  <c r="G25" i="1"/>
  <c r="H25" i="1" s="1"/>
  <c r="H10" i="1"/>
  <c r="G27" i="1"/>
  <c r="H27" i="1" s="1"/>
  <c r="H26" i="1"/>
  <c r="G23" i="1"/>
  <c r="H23" i="1" s="1"/>
  <c r="G22" i="1"/>
  <c r="H22" i="1" s="1"/>
  <c r="G20" i="1"/>
  <c r="H20" i="1" s="1"/>
  <c r="G18" i="1"/>
  <c r="H18" i="1" s="1"/>
  <c r="G16" i="1"/>
  <c r="H16" i="1" s="1"/>
  <c r="G15" i="1"/>
  <c r="H15" i="1" s="1"/>
  <c r="G14" i="1"/>
  <c r="H14" i="1" s="1"/>
  <c r="G13" i="1"/>
  <c r="H13" i="1" s="1"/>
  <c r="G12" i="1"/>
  <c r="H12" i="1" s="1"/>
</calcChain>
</file>

<file path=xl/sharedStrings.xml><?xml version="1.0" encoding="utf-8"?>
<sst xmlns="http://schemas.openxmlformats.org/spreadsheetml/2006/main" count="88" uniqueCount="67">
  <si>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</si>
  <si>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</si>
  <si>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</si>
  <si>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</si>
  <si>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</si>
  <si>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 Узбекистан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</si>
  <si>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</si>
  <si>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</si>
  <si>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</si>
  <si>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</si>
  <si>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</si>
  <si>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</si>
  <si>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Ангиотрен р-р. для инф  200мл №1</t>
  </si>
  <si>
    <t>Доунарин р-р. для инф  100мл №1</t>
  </si>
  <si>
    <t>Зотокам 1,125г пор для инък №1</t>
  </si>
  <si>
    <t>Рогинолит р-р. для инф 200 мл №1</t>
  </si>
  <si>
    <t>Форкард раствор для инъекций  10% 5мл №10</t>
  </si>
  <si>
    <t>OOO BAYAN MEDICAL</t>
  </si>
  <si>
    <t>Орг</t>
  </si>
  <si>
    <t>Ликрузен ваг.капс 90мг №6</t>
  </si>
  <si>
    <t>Heilongjiang Tianlong Pharmaceutical Co.,Ltd</t>
  </si>
  <si>
    <t>Неодексон р-р. для инф  100 мл №1</t>
  </si>
  <si>
    <t>Ангисем р-р. для инф   100 мл №1</t>
  </si>
  <si>
    <t>Эльфор р-р. для инф  5м/мл</t>
  </si>
  <si>
    <t>Левофлоксацин</t>
  </si>
  <si>
    <t>Co., Ltd. Wuhan Fuxing Biological Pharmaceutical Китай</t>
  </si>
  <si>
    <t>Семпер р-р. для инф 200 мл №1</t>
  </si>
  <si>
    <t>Ангисем р-р. для инф   250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</si>
  <si>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</si>
  <si>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</si>
  <si>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</si>
  <si>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MSME Synapse Pharmatech Индия</t>
  </si>
  <si>
    <t>Миранол Раствор для внутривенного введения 50мл стеклянные флаконы</t>
  </si>
  <si>
    <t>ООО Temur Med Farm Узбекистан</t>
  </si>
  <si>
    <t>Софин Раствор для инфузий 5 % 100мл стеклянные флаконы</t>
  </si>
  <si>
    <t>Эпсол Раствор для инфузий 12 мг/мл 50мл стеклянные флаконы</t>
  </si>
  <si>
    <t>Amantadine sulfate</t>
  </si>
  <si>
    <t>Ceftriaxone – 1000 mg + tazobactam – 125 mg (Ceftriaxone + tazobactam)</t>
  </si>
  <si>
    <t>Polycresulene</t>
  </si>
  <si>
    <t>Tranexamic acid</t>
  </si>
  <si>
    <t>sulbactam + cefoperazone</t>
  </si>
  <si>
    <t>Arginine + levocarnitine + citicoline</t>
  </si>
  <si>
    <t>Fructose-1,6-sodium diphosphate</t>
  </si>
  <si>
    <t>Thioctic acid</t>
  </si>
  <si>
    <t>Pentoxifilinе</t>
  </si>
  <si>
    <t>L-arginine</t>
  </si>
  <si>
    <t>Sorbitol, sodium lactate, sodium chloride,
potassium chloride, calcium chloride, magnesium chloride</t>
  </si>
  <si>
    <t xml:space="preserve"> L-arginine + Levocarnitine</t>
  </si>
  <si>
    <t>Акваципро-Д гл. капли №1</t>
  </si>
  <si>
    <t>Ciprofloxacin + Dexamethasone</t>
  </si>
  <si>
    <t>East African Overseases Индия</t>
  </si>
  <si>
    <t>Ландиос Раствор для инфузий 100мл стеклянные флаконы</t>
  </si>
  <si>
    <t>ком.лек (лизин + эсцин)</t>
  </si>
  <si>
    <t>Прайс-лист на 01.11.2025</t>
  </si>
  <si>
    <t>Рогинолит р-р. для инф 100 мл №1</t>
  </si>
  <si>
    <t>Экситен р-р. для инф 100 мл Nº1</t>
  </si>
  <si>
    <t>Меглюмин</t>
  </si>
  <si>
    <t>Экситен р-р. для инф 200 мл Nº1</t>
  </si>
  <si>
    <t>Элгинарин р-р. для инф 100мл №1</t>
  </si>
  <si>
    <t>Лютион порошок для приготовления раствора для иньекций 1200 мг Nº10</t>
  </si>
  <si>
    <t>Лютион порошок для приготовления раствора для иньекций 600 мг Nº10</t>
  </si>
  <si>
    <t>Глютатион</t>
  </si>
  <si>
    <t>Южная Корея</t>
  </si>
  <si>
    <t>Броникс р-р для инъек. 100мг/5мл №5</t>
  </si>
  <si>
    <t>Iron Hydroxide Polymaltosate</t>
  </si>
  <si>
    <t>ALWIN DMD PHARMACEUTICALS</t>
  </si>
  <si>
    <t>Адинтан Нео р-р. для инфузий 0,8мг/мл 200 мл №1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</si>
</sst>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3" fontId="17" fillId="0" borderId="3" xfId="0" applyNumberFormat="1" applyFont="1" applyBorder="1" applyAlignment="1">
      <alignment horizontal="center" vertical="center" wrapText="1"/>
    </xf>
    <xf numFmtId="14" fontId="18" fillId="0" borderId="3" xfId="0" applyNumberFormat="1" applyFont="1" applyBorder="1" applyAlignment="1">
      <alignment horizontal="center" vertical="center" wrapText="1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8</xdr:col>
      <xdr:colOff>2246195</xdr:colOff>
      <xdr:row>1</xdr:row>
      <xdr:rowOff>284328</xdr:rowOff>
    </xdr:from>
    <xdr:to>
      <xdr:col>9</xdr:col>
      <xdr:colOff>1271966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autoPageBreaks="0" fitToPage="1"/>
  </sheetPr>
  <dimension ref="B3:L44"/>
  <sheetViews>
    <sheetView tabSelected="1" topLeftCell="A21" zoomScale="91" zoomScaleNormal="70" zoomScalePageLayoutView="40" workbookViewId="0">
      <selection activeCell="G26" sqref="G26"/>
    </sheetView>
  </sheetViews>
  <sheetFormatPr baseColWidth="10" defaultColWidth="8.83203125" defaultRowHeight="25"/>
  <cols>
    <col min="1" max="1" width="8.83203125" style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82" style="3" customWidth="1"/>
    <col min="10" max="10" width="20.6640625" style="3" customWidth="1"/>
    <col min="11" max="11" width="8.83203125" style="1"/>
    <col min="12" max="12" width="33.6640625" style="14" customWidth="1"/>
    <col min="13" max="13" width="26" style="1" bestFit="1" customWidth="1"/>
    <col min="14" max="16384" width="8.83203125" style="1"/>
  </cols>
  <sheetData>
    <row r="3" spans="2:12">
      <c r="F3" s="2"/>
      <c r="G3" s="2"/>
      <c r="H3" s="2"/>
    </row>
    <row r="4" spans="2:12" ht="36" customHeight="1">
      <c r="F4" s="2"/>
      <c r="G4" s="2"/>
      <c r="H4" s="2"/>
    </row>
    <row r="5" spans="2:12">
      <c r="F5" s="2"/>
      <c r="G5" s="2"/>
      <c r="H5" s="2"/>
    </row>
    <row r="6" spans="2:12" ht="49" customHeight="1">
      <c r="B6" s="18"/>
      <c r="C6" s="34" t="s">
        <v>8</v>
      </c>
      <c r="D6" s="34"/>
      <c r="E6" s="34"/>
      <c r="F6" s="34"/>
      <c r="G6" s="34"/>
      <c r="H6" s="34"/>
      <c r="I6" s="34"/>
      <c r="J6" s="18"/>
    </row>
    <row r="7" spans="2:12" ht="49" customHeight="1">
      <c r="B7" s="19"/>
      <c r="C7" s="19"/>
      <c r="D7" s="32" t="s">
        <v>53</v>
      </c>
      <c r="E7" s="32"/>
      <c r="F7" s="32"/>
      <c r="G7" s="32"/>
      <c r="H7" s="32"/>
      <c r="I7" s="19"/>
      <c r="J7" s="19"/>
    </row>
    <row r="8" spans="2:12" ht="24.75" customHeight="1">
      <c r="B8" s="9"/>
      <c r="C8" s="11"/>
      <c r="D8" s="5"/>
      <c r="E8" s="13"/>
      <c r="F8" s="6"/>
      <c r="G8" s="16">
        <v>15</v>
      </c>
      <c r="H8" s="16"/>
      <c r="I8" s="31" t="s">
        <v>10</v>
      </c>
      <c r="J8" s="31"/>
    </row>
    <row r="9" spans="2:12" ht="83.25" customHeight="1">
      <c r="B9" s="20" t="s">
        <v>4</v>
      </c>
      <c r="C9" s="20" t="s">
        <v>3</v>
      </c>
      <c r="D9" s="20" t="s">
        <v>18</v>
      </c>
      <c r="E9" s="20" t="s">
        <v>0</v>
      </c>
      <c r="F9" s="21" t="s">
        <v>1</v>
      </c>
      <c r="G9" s="21" t="s">
        <v>9</v>
      </c>
      <c r="H9" s="21" t="s">
        <v>11</v>
      </c>
      <c r="I9" s="20" t="s">
        <v>2</v>
      </c>
      <c r="J9" s="22" t="s">
        <v>28</v>
      </c>
    </row>
    <row r="10" spans="2:12" ht="48" customHeight="1">
      <c r="B10" s="24">
        <v>1</v>
      </c>
      <c r="C10" s="29" t="s">
        <v>48</v>
      </c>
      <c r="D10" s="25">
        <v>500</v>
      </c>
      <c r="E10" s="26" t="s">
        <v>49</v>
      </c>
      <c r="F10" s="27">
        <v>34982</v>
      </c>
      <c r="G10" s="27">
        <f>F10*(1+0.14%)</f>
        <v>35030.974800000004</v>
      </c>
      <c r="H10" s="27">
        <f t="shared" ref="H10" si="0">+G10*1.12</f>
        <v>39234.691776000007</v>
      </c>
      <c r="I10" s="25" t="s">
        <v>50</v>
      </c>
      <c r="J10" s="28">
        <v>46569</v>
      </c>
    </row>
    <row r="11" spans="2:12" s="8" customFormat="1" ht="48" customHeight="1">
      <c r="B11" s="24">
        <v>2</v>
      </c>
      <c r="C11" s="29" t="s">
        <v>66</v>
      </c>
      <c r="D11" s="35">
        <v>30</v>
      </c>
      <c r="E11" s="36" t="s">
        <v>36</v>
      </c>
      <c r="F11" s="37">
        <v>95400</v>
      </c>
      <c r="G11" s="37">
        <v>109710</v>
      </c>
      <c r="H11" s="37">
        <v>122875</v>
      </c>
      <c r="I11" s="25" t="s">
        <v>33</v>
      </c>
      <c r="J11" s="38">
        <v>46388</v>
      </c>
      <c r="K11" s="1"/>
      <c r="L11" s="15"/>
    </row>
    <row r="12" spans="2:12" ht="47" customHeight="1">
      <c r="B12" s="24">
        <v>3</v>
      </c>
      <c r="C12" s="29" t="s">
        <v>12</v>
      </c>
      <c r="D12" s="25">
        <v>28</v>
      </c>
      <c r="E12" s="26" t="s">
        <v>44</v>
      </c>
      <c r="F12" s="27">
        <v>37000</v>
      </c>
      <c r="G12" s="27">
        <f t="shared" ref="G11:G28" si="1">F12*(1+$G$8%)</f>
        <v>42550</v>
      </c>
      <c r="H12" s="27">
        <f t="shared" ref="H12:H28" si="2">+G12*1.12</f>
        <v>47656.000000000007</v>
      </c>
      <c r="I12" s="25" t="s">
        <v>5</v>
      </c>
      <c r="J12" s="28">
        <v>46296</v>
      </c>
    </row>
    <row r="13" spans="2:12" ht="47" customHeight="1">
      <c r="B13" s="24">
        <v>4</v>
      </c>
      <c r="C13" s="29" t="s">
        <v>22</v>
      </c>
      <c r="D13" s="25">
        <v>40</v>
      </c>
      <c r="E13" s="26" t="s">
        <v>44</v>
      </c>
      <c r="F13" s="27">
        <v>38000</v>
      </c>
      <c r="G13" s="27">
        <f t="shared" si="1"/>
        <v>43700</v>
      </c>
      <c r="H13" s="27">
        <f t="shared" si="2"/>
        <v>48944.000000000007</v>
      </c>
      <c r="I13" s="25" t="s">
        <v>6</v>
      </c>
      <c r="J13" s="28">
        <v>46357</v>
      </c>
    </row>
    <row r="14" spans="2:12" ht="47" customHeight="1">
      <c r="B14" s="24">
        <v>5</v>
      </c>
      <c r="C14" s="29" t="s">
        <v>27</v>
      </c>
      <c r="D14" s="25">
        <v>40</v>
      </c>
      <c r="E14" s="26" t="s">
        <v>44</v>
      </c>
      <c r="F14" s="27">
        <v>43000</v>
      </c>
      <c r="G14" s="27">
        <f t="shared" si="1"/>
        <v>49449.999999999993</v>
      </c>
      <c r="H14" s="27">
        <f t="shared" si="2"/>
        <v>55384</v>
      </c>
      <c r="I14" s="25" t="s">
        <v>6</v>
      </c>
      <c r="J14" s="28">
        <v>46447</v>
      </c>
    </row>
    <row r="15" spans="2:12" ht="47" customHeight="1">
      <c r="B15" s="24">
        <v>6</v>
      </c>
      <c r="C15" s="29" t="s">
        <v>13</v>
      </c>
      <c r="D15" s="25">
        <v>40</v>
      </c>
      <c r="E15" s="26" t="s">
        <v>47</v>
      </c>
      <c r="F15" s="27">
        <v>55000</v>
      </c>
      <c r="G15" s="27">
        <f t="shared" si="1"/>
        <v>63249.999999999993</v>
      </c>
      <c r="H15" s="27">
        <f t="shared" si="2"/>
        <v>70840</v>
      </c>
      <c r="I15" s="25" t="s">
        <v>6</v>
      </c>
      <c r="J15" s="28">
        <v>46357</v>
      </c>
    </row>
    <row r="16" spans="2:12" ht="47" customHeight="1">
      <c r="B16" s="24">
        <v>7</v>
      </c>
      <c r="C16" s="29" t="s">
        <v>14</v>
      </c>
      <c r="D16" s="25">
        <v>240</v>
      </c>
      <c r="E16" s="26" t="s">
        <v>37</v>
      </c>
      <c r="F16" s="27">
        <v>45000</v>
      </c>
      <c r="G16" s="27">
        <f t="shared" si="1"/>
        <v>51749.999999999993</v>
      </c>
      <c r="H16" s="27">
        <f t="shared" si="2"/>
        <v>57960</v>
      </c>
      <c r="I16" s="25" t="s">
        <v>7</v>
      </c>
      <c r="J16" s="28">
        <v>46296</v>
      </c>
    </row>
    <row r="17" spans="2:10" ht="47" customHeight="1">
      <c r="B17" s="24">
        <v>8</v>
      </c>
      <c r="C17" s="29" t="s">
        <v>51</v>
      </c>
      <c r="D17" s="25">
        <v>40</v>
      </c>
      <c r="E17" s="26" t="s">
        <v>52</v>
      </c>
      <c r="F17" s="27">
        <v>64700</v>
      </c>
      <c r="G17" s="27">
        <f t="shared" si="1"/>
        <v>74405</v>
      </c>
      <c r="H17" s="27">
        <f t="shared" si="2"/>
        <v>83333.600000000006</v>
      </c>
      <c r="I17" s="25" t="s">
        <v>33</v>
      </c>
      <c r="J17" s="28">
        <v>46600</v>
      </c>
    </row>
    <row r="18" spans="2:10" ht="47" customHeight="1">
      <c r="B18" s="24">
        <v>9</v>
      </c>
      <c r="C18" s="29" t="s">
        <v>19</v>
      </c>
      <c r="D18" s="25">
        <v>135</v>
      </c>
      <c r="E18" s="26" t="s">
        <v>38</v>
      </c>
      <c r="F18" s="27">
        <v>84000</v>
      </c>
      <c r="G18" s="27">
        <f t="shared" si="1"/>
        <v>96599.999999999985</v>
      </c>
      <c r="H18" s="27">
        <f t="shared" si="2"/>
        <v>108192</v>
      </c>
      <c r="I18" s="25" t="s">
        <v>20</v>
      </c>
      <c r="J18" s="28">
        <v>46204</v>
      </c>
    </row>
    <row r="19" spans="2:10" ht="47" customHeight="1">
      <c r="B19" s="24">
        <v>10</v>
      </c>
      <c r="C19" s="29" t="s">
        <v>32</v>
      </c>
      <c r="D19" s="25">
        <v>50</v>
      </c>
      <c r="E19" s="26" t="s">
        <v>41</v>
      </c>
      <c r="F19" s="27">
        <v>90000</v>
      </c>
      <c r="G19" s="27">
        <f t="shared" si="1"/>
        <v>103499.99999999999</v>
      </c>
      <c r="H19" s="27">
        <f t="shared" si="2"/>
        <v>115920</v>
      </c>
      <c r="I19" s="25" t="s">
        <v>33</v>
      </c>
      <c r="J19" s="28">
        <v>46600</v>
      </c>
    </row>
    <row r="20" spans="2:10" ht="47" customHeight="1">
      <c r="B20" s="24">
        <v>11</v>
      </c>
      <c r="C20" s="29" t="s">
        <v>21</v>
      </c>
      <c r="D20" s="25">
        <v>40</v>
      </c>
      <c r="E20" s="26" t="s">
        <v>45</v>
      </c>
      <c r="F20" s="27">
        <v>44588</v>
      </c>
      <c r="G20" s="27">
        <f t="shared" si="1"/>
        <v>51276.2</v>
      </c>
      <c r="H20" s="27">
        <f t="shared" si="2"/>
        <v>57429.344000000005</v>
      </c>
      <c r="I20" s="25" t="s">
        <v>6</v>
      </c>
      <c r="J20" s="28">
        <v>46296</v>
      </c>
    </row>
    <row r="21" spans="2:10" ht="47" customHeight="1">
      <c r="B21" s="24">
        <v>12</v>
      </c>
      <c r="C21" s="29" t="s">
        <v>54</v>
      </c>
      <c r="D21" s="25">
        <v>40</v>
      </c>
      <c r="E21" s="26" t="s">
        <v>46</v>
      </c>
      <c r="F21" s="27">
        <v>33500</v>
      </c>
      <c r="G21" s="27">
        <f t="shared" si="1"/>
        <v>38525</v>
      </c>
      <c r="H21" s="27">
        <f t="shared" si="2"/>
        <v>43148.000000000007</v>
      </c>
      <c r="I21" s="25" t="s">
        <v>6</v>
      </c>
      <c r="J21" s="28">
        <v>46296</v>
      </c>
    </row>
    <row r="22" spans="2:10" ht="47" customHeight="1">
      <c r="B22" s="24">
        <v>13</v>
      </c>
      <c r="C22" s="29" t="s">
        <v>15</v>
      </c>
      <c r="D22" s="25">
        <v>20</v>
      </c>
      <c r="E22" s="26" t="s">
        <v>46</v>
      </c>
      <c r="F22" s="27">
        <v>40000</v>
      </c>
      <c r="G22" s="27">
        <f t="shared" si="1"/>
        <v>46000</v>
      </c>
      <c r="H22" s="27">
        <f t="shared" si="2"/>
        <v>51520.000000000007</v>
      </c>
      <c r="I22" s="25" t="s">
        <v>6</v>
      </c>
      <c r="J22" s="28">
        <v>46296</v>
      </c>
    </row>
    <row r="23" spans="2:10" ht="47" customHeight="1">
      <c r="B23" s="24">
        <v>14</v>
      </c>
      <c r="C23" s="29" t="s">
        <v>26</v>
      </c>
      <c r="D23" s="25">
        <v>28</v>
      </c>
      <c r="E23" s="26" t="s">
        <v>46</v>
      </c>
      <c r="F23" s="27">
        <v>40000</v>
      </c>
      <c r="G23" s="27">
        <f t="shared" si="1"/>
        <v>46000</v>
      </c>
      <c r="H23" s="27">
        <f t="shared" si="2"/>
        <v>51520.000000000007</v>
      </c>
      <c r="I23" s="25" t="s">
        <v>5</v>
      </c>
      <c r="J23" s="28">
        <v>46661</v>
      </c>
    </row>
    <row r="24" spans="2:10" ht="47" customHeight="1">
      <c r="B24" s="24">
        <v>15</v>
      </c>
      <c r="C24" s="30" t="s">
        <v>30</v>
      </c>
      <c r="D24" s="25">
        <v>200</v>
      </c>
      <c r="E24" s="26" t="s">
        <v>40</v>
      </c>
      <c r="F24" s="27">
        <v>43167</v>
      </c>
      <c r="G24" s="27">
        <f t="shared" si="1"/>
        <v>49642.049999999996</v>
      </c>
      <c r="H24" s="27">
        <f t="shared" si="2"/>
        <v>55599.095999999998</v>
      </c>
      <c r="I24" s="25" t="s">
        <v>31</v>
      </c>
      <c r="J24" s="28">
        <v>46447</v>
      </c>
    </row>
    <row r="25" spans="2:10" ht="47" customHeight="1">
      <c r="B25" s="24">
        <v>16</v>
      </c>
      <c r="C25" s="29" t="s">
        <v>34</v>
      </c>
      <c r="D25" s="25">
        <v>40</v>
      </c>
      <c r="E25" s="26" t="s">
        <v>42</v>
      </c>
      <c r="F25" s="27">
        <v>120000</v>
      </c>
      <c r="G25" s="27">
        <f t="shared" si="1"/>
        <v>138000</v>
      </c>
      <c r="H25" s="27">
        <f t="shared" si="2"/>
        <v>154560.00000000003</v>
      </c>
      <c r="I25" s="25" t="s">
        <v>33</v>
      </c>
      <c r="J25" s="28">
        <v>46600</v>
      </c>
    </row>
    <row r="26" spans="2:10" ht="47" customHeight="1">
      <c r="B26" s="24">
        <v>17</v>
      </c>
      <c r="C26" s="29" t="s">
        <v>16</v>
      </c>
      <c r="D26" s="25">
        <v>60</v>
      </c>
      <c r="E26" s="26" t="s">
        <v>39</v>
      </c>
      <c r="F26" s="27">
        <v>145000</v>
      </c>
      <c r="G26" s="27">
        <f>F26*(1+0.03)</f>
        <v>149350</v>
      </c>
      <c r="H26" s="27">
        <f t="shared" si="2"/>
        <v>167272.00000000003</v>
      </c>
      <c r="I26" s="25" t="s">
        <v>17</v>
      </c>
      <c r="J26" s="28">
        <v>46419</v>
      </c>
    </row>
    <row r="27" spans="2:10" ht="44" customHeight="1">
      <c r="B27" s="24">
        <v>18</v>
      </c>
      <c r="C27" s="29" t="s">
        <v>23</v>
      </c>
      <c r="D27" s="25"/>
      <c r="E27" s="26" t="s">
        <v>24</v>
      </c>
      <c r="F27" s="27">
        <v>40621</v>
      </c>
      <c r="G27" s="27">
        <f t="shared" si="1"/>
        <v>46714.149999999994</v>
      </c>
      <c r="H27" s="27">
        <f t="shared" si="2"/>
        <v>52319.847999999998</v>
      </c>
      <c r="I27" s="25" t="s">
        <v>25</v>
      </c>
      <c r="J27" s="28">
        <v>46631</v>
      </c>
    </row>
    <row r="28" spans="2:10" ht="40">
      <c r="B28" s="24">
        <v>19</v>
      </c>
      <c r="C28" s="29" t="s">
        <v>35</v>
      </c>
      <c r="D28" s="25">
        <v>50</v>
      </c>
      <c r="E28" s="26" t="s">
        <v>43</v>
      </c>
      <c r="F28" s="27">
        <v>65000</v>
      </c>
      <c r="G28" s="27">
        <f t="shared" si="1"/>
        <v>74750</v>
      </c>
      <c r="H28" s="27">
        <f t="shared" si="2"/>
        <v>83720.000000000015</v>
      </c>
      <c r="I28" s="25" t="s">
        <v>33</v>
      </c>
      <c r="J28" s="28">
        <v>46600</v>
      </c>
    </row>
    <row r="29" spans="2:10">
      <c r="B29" s="24">
        <v>20</v>
      </c>
      <c r="C29" s="29" t="s">
        <v>55</v>
      </c>
      <c r="D29" s="25"/>
      <c r="E29" s="26" t="s">
        <v>56</v>
      </c>
      <c r="F29" s="27">
        <v>45000</v>
      </c>
      <c r="G29" s="27">
        <f t="shared" ref="G29" si="3">F29*(1+$G$8%)</f>
        <v>51749.999999999993</v>
      </c>
      <c r="H29" s="27">
        <f t="shared" ref="H29:H30" si="4">+G29*1.12</f>
        <v>57960</v>
      </c>
      <c r="I29" s="25" t="s">
        <v>6</v>
      </c>
      <c r="J29" s="28">
        <v>46631</v>
      </c>
    </row>
    <row r="30" spans="2:10">
      <c r="B30" s="24">
        <v>21</v>
      </c>
      <c r="C30" s="29" t="s">
        <v>57</v>
      </c>
      <c r="D30" s="25"/>
      <c r="E30" s="26" t="s">
        <v>56</v>
      </c>
      <c r="F30" s="27">
        <v>55000</v>
      </c>
      <c r="G30" s="27">
        <f>F30*(1+$G$8%)</f>
        <v>63249.999999999993</v>
      </c>
      <c r="H30" s="27">
        <f t="shared" si="4"/>
        <v>70840</v>
      </c>
      <c r="I30" s="25" t="s">
        <v>6</v>
      </c>
      <c r="J30" s="28">
        <v>46539</v>
      </c>
    </row>
    <row r="31" spans="2:10">
      <c r="B31" s="24">
        <v>22</v>
      </c>
      <c r="C31" s="29" t="s">
        <v>58</v>
      </c>
      <c r="D31" s="25">
        <v>40</v>
      </c>
      <c r="E31" s="26" t="s">
        <v>45</v>
      </c>
      <c r="F31" s="27">
        <v>44588</v>
      </c>
      <c r="G31" s="27">
        <f t="shared" ref="G31:G33" si="5">F31*(1+$G$8%)</f>
        <v>51276.2</v>
      </c>
      <c r="H31" s="27">
        <f t="shared" ref="H31:H33" si="6">+G31*1.12</f>
        <v>57429.344000000005</v>
      </c>
      <c r="I31" s="25" t="s">
        <v>6</v>
      </c>
      <c r="J31" s="28">
        <v>46296</v>
      </c>
    </row>
    <row r="32" spans="2:10" ht="40">
      <c r="B32" s="24">
        <v>23</v>
      </c>
      <c r="C32" s="29" t="s">
        <v>59</v>
      </c>
      <c r="D32" s="25">
        <v>65</v>
      </c>
      <c r="E32" s="26" t="s">
        <v>61</v>
      </c>
      <c r="F32" s="27">
        <v>967915</v>
      </c>
      <c r="G32" s="27">
        <f t="shared" si="5"/>
        <v>1113102.25</v>
      </c>
      <c r="H32" s="27">
        <f t="shared" si="6"/>
        <v>1246674.52</v>
      </c>
      <c r="I32" s="25" t="s">
        <v>62</v>
      </c>
      <c r="J32" s="28">
        <v>46874</v>
      </c>
    </row>
    <row r="33" spans="2:11" ht="40">
      <c r="B33" s="24">
        <v>24</v>
      </c>
      <c r="C33" s="29" t="s">
        <v>60</v>
      </c>
      <c r="D33" s="25">
        <v>60</v>
      </c>
      <c r="E33" s="26" t="s">
        <v>61</v>
      </c>
      <c r="F33" s="27">
        <v>439044</v>
      </c>
      <c r="G33" s="27">
        <f t="shared" si="5"/>
        <v>504900.6</v>
      </c>
      <c r="H33" s="27">
        <f t="shared" si="6"/>
        <v>565488.67200000002</v>
      </c>
      <c r="I33" s="25" t="s">
        <v>62</v>
      </c>
      <c r="J33" s="28">
        <v>46935</v>
      </c>
    </row>
    <row r="34" spans="2:11">
      <c r="B34" s="24">
        <v>25</v>
      </c>
      <c r="C34" s="29" t="s">
        <v>63</v>
      </c>
      <c r="D34" s="25"/>
      <c r="E34" s="26" t="s">
        <v>64</v>
      </c>
      <c r="F34" s="27">
        <v>194200</v>
      </c>
      <c r="G34" s="27">
        <f t="shared" ref="G34" si="7">F34*(1+$G$8%)</f>
        <v>223329.99999999997</v>
      </c>
      <c r="H34" s="27">
        <f t="shared" ref="H34" si="8">+G34*1.12</f>
        <v>250129.59999999998</v>
      </c>
      <c r="I34" s="25" t="s">
        <v>65</v>
      </c>
      <c r="J34" s="28">
        <v>46388</v>
      </c>
    </row>
    <row r="35" spans="2:11">
      <c r="B35" s="1"/>
      <c r="C35" s="1"/>
      <c r="D35" s="1"/>
      <c r="E35" s="1"/>
      <c r="F35" s="1"/>
      <c r="G35" s="1"/>
      <c r="H35" s="1"/>
      <c r="I35" s="1"/>
      <c r="J35" s="1"/>
    </row>
    <row r="36" spans="2:11">
      <c r="K36" s="14"/>
    </row>
    <row r="37" spans="2:11" ht="130" customHeight="1">
      <c r="B37" s="33" t="s">
        <v>29</v>
      </c>
      <c r="C37" s="33"/>
      <c r="D37" s="33"/>
      <c r="E37" s="33"/>
      <c r="F37" s="33"/>
      <c r="G37" s="33"/>
      <c r="H37" s="33"/>
      <c r="I37" s="33"/>
      <c r="J37" s="33"/>
    </row>
    <row r="38" spans="2:11">
      <c r="C38" s="1"/>
      <c r="D38" s="1"/>
      <c r="E38" s="1"/>
      <c r="F38" s="1"/>
      <c r="G38" s="1"/>
      <c r="H38" s="1"/>
      <c r="I38" s="1"/>
      <c r="J38" s="1"/>
    </row>
    <row r="39" spans="2:11">
      <c r="B39" s="1"/>
      <c r="C39" s="1"/>
      <c r="D39" s="1"/>
      <c r="E39" s="1"/>
      <c r="F39" s="1"/>
      <c r="G39" s="1"/>
      <c r="H39" s="1"/>
      <c r="I39" s="1"/>
      <c r="J39" s="1"/>
    </row>
    <row r="40" spans="2:11">
      <c r="J40" s="17"/>
    </row>
    <row r="41" spans="2:11">
      <c r="J41" s="23"/>
    </row>
    <row r="42" spans="2:11">
      <c r="J42" s="23"/>
    </row>
    <row r="43" spans="2:11">
      <c r="J43" s="17"/>
    </row>
    <row r="44" spans="2:11" ht="25" customHeight="1">
      <c r="J44" s="1"/>
    </row>
  </sheetData>
  <autoFilter ref="B9:J27" xr:uid="{00000000-0009-0000-0000-000000000000}">
    <filterColumn colId="1">
      <filters>
        <filter val="Агрицит р-р. для инф 100 мл №1"/>
        <filter val="Адинтан р-р. для инф  200 мл №1"/>
        <filter val="Ангиотрен р-р. для инф  200мл №1"/>
        <filter val="Ангисем р-р. для инф   100 мл №1"/>
        <filter val="Ангисем р-р. для инф   250 мл №1"/>
        <filter val="Биосем р-р. для инф 100 мл №1"/>
        <filter val="Доунарин р-р. для инф  100мл №1"/>
        <filter val="Зотокам 1,125г пор для инък №1"/>
        <filter val="Исофлокс 500мг блистеры №10"/>
        <filter val="Кардисем  р-р. для инф 100 мл №1"/>
        <filter val="Ликрузен ваг.капс 90мг №6"/>
        <filter val="Мексибел  р-р для инъек. 50мг/мл №10"/>
        <filter val="Неодексон р-р. для инф  100 мл №1"/>
        <filter val="Рангор р-р для инъек 100 мг 5мл №5"/>
        <filter val="Рогинолит р-р. для инф 200 мл №1"/>
        <filter val="Семпер р-р. для инф 200 мл №1"/>
        <filter val="Форкард раствор для инъекций  10% 5мл №10"/>
        <filter val="Форферро р-р для инъек. 100мг/5мл 5мл №5"/>
        <filter val="Эвотрон р-р. для инф 100 мл №1"/>
        <filter val="Элгинарин р-р. для инф 100мл №1"/>
        <filter val="Элоксилит р-р. для инф 250 мл №1"/>
      </filters>
    </filterColumn>
  </autoFilter>
  <mergeCells count="4">
    <mergeCell ref="I8:J8"/>
    <mergeCell ref="D7:H7"/>
    <mergeCell ref="B37:J37"/>
    <mergeCell ref="C6:I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2026-04-01T04:59:26Z</dcterms:modified>
</cp:coreProperties>
</file>