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26"/>
  <workbookPr autoCompressPictures="0"/>
  <mc:AlternateContent xmlns:mc="http://schemas.openxmlformats.org/markup-compatibility/2006">
    <mc:Choice Requires="x15">
      <x15ac:absPath xmlns:x15ac="http://schemas.microsoft.com/office/spreadsheetml/2010/11/ac" url="/Users/shakhrizodaisoeva/Desktop/Bot data/Prays list/"/>
    </mc:Choice>
  </mc:AlternateContent>
  <xr:revisionPtr revIDLastSave="0" documentId="13_ncr:1_{AFD5D91D-C0C8-F34B-A366-FCFA43E443E4}" xr6:coauthVersionLast="47" xr6:coauthVersionMax="47" xr10:uidLastSave="{00000000-0000-0000-0000-000000000000}"/>
  <bookViews>
    <workbookView xWindow="0" yWindow="620" windowWidth="38400" windowHeight="18760" xr2:uid="{00000000-000D-0000-FFFF-FFFF00000000}"/>
  </bookViews>
  <sheets>
    <sheet name="Прайс-лист" sheetId="1" r:id="rId1"/>
  </sheets>
  <definedNames>
    <definedName name="_xlnm._FilterDatabase" localSheetId="0" hidden="1">'Прайс-лист'!$B$9:$K$18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" i="1" l="1"/>
  <c r="H10" i="1" s="1"/>
  <c r="G18" i="1"/>
  <c r="H18" i="1" s="1"/>
  <c r="G17" i="1"/>
  <c r="H17" i="1" s="1"/>
  <c r="G14" i="1"/>
  <c r="H14" i="1" s="1"/>
  <c r="G16" i="1" l="1"/>
  <c r="H16" i="1" s="1"/>
  <c r="G15" i="1"/>
  <c r="H15" i="1" s="1"/>
  <c r="G13" i="1"/>
  <c r="H13" i="1" s="1"/>
  <c r="G12" i="1"/>
  <c r="H12" i="1" s="1"/>
  <c r="G11" i="1"/>
  <c r="H11" i="1" s="1"/>
</calcChain>
</file>

<file path=xl/sharedStrings.xml><?xml version="1.0" encoding="utf-8"?>
<sst xmlns="http://schemas.openxmlformats.org/spreadsheetml/2006/main" count="51" uniqueCount="39">
  <si>
    <t>МНН</t>
  </si>
  <si>
    <t>Базовая цена</t>
  </si>
  <si>
    <t>Производитель</t>
  </si>
  <si>
    <t xml:space="preserve">Наименование </t>
  </si>
  <si>
    <t>№</t>
  </si>
  <si>
    <t>СП ООО «Samarkand England Eco-Medical»</t>
  </si>
  <si>
    <t xml:space="preserve">OOO “Reflective Med Pharm” </t>
  </si>
  <si>
    <t xml:space="preserve">Наценка 15% </t>
  </si>
  <si>
    <t>Цена с указано Без НДС  ***</t>
  </si>
  <si>
    <t>с НДС</t>
  </si>
  <si>
    <t>Ангиотрен р-р. для инф  200мл №1</t>
  </si>
  <si>
    <t>Доунарин р-р. для инф  100мл №1</t>
  </si>
  <si>
    <t>Рогинолит р-р. для инф 200 мл №1</t>
  </si>
  <si>
    <t>Орг</t>
  </si>
  <si>
    <t>Ликрузен ваг.капс 90мг №6</t>
  </si>
  <si>
    <t>Heilongjiang Tianlong Pharmaceutical Co.,Ltd</t>
  </si>
  <si>
    <t>Срок годности</t>
  </si>
  <si>
    <t>Реквизиты: OOO «REFLECTIVE MED PHARM» Адрес: 111801, Республика Узбекистан, Ташкентская область, Зангиотинский район, Уртаул коргани, Катта Чинор МФЙ, 1А Р/с20208000905364813002 в «УЗСАНОАТКУРИЛИШБАНКИ» АТБ БОШ ОФИСИ   МФО:00440   ИНН:   308321773.  ОКЭД 46460</t>
  </si>
  <si>
    <t>Синаперазон С порошок для приготовления раствора для инъекций 1000 мг+500мг №1 в комплект</t>
  </si>
  <si>
    <t>Amantadine sulfate</t>
  </si>
  <si>
    <t>Polycresulene</t>
  </si>
  <si>
    <t>sulbactam + cefoperazone</t>
  </si>
  <si>
    <t>Pentoxifilinе</t>
  </si>
  <si>
    <t>Sorbitol, sodium lactate, sodium chloride,
potassium chloride, calcium chloride, magnesium chloride</t>
  </si>
  <si>
    <t xml:space="preserve"> L-arginine + Levocarnitine</t>
  </si>
  <si>
    <t>Прайс-лист на 01.11.2025</t>
  </si>
  <si>
    <t>Рогинолит р-р. для инф 100 мл №1</t>
  </si>
  <si>
    <t>Экситен р-р. для инф 100 мл Nº1</t>
  </si>
  <si>
    <t>Экситен р-р. для инф 200 мл Nº1</t>
  </si>
  <si>
    <t>Бронь</t>
  </si>
  <si>
    <t>Страна</t>
  </si>
  <si>
    <t>Индия</t>
  </si>
  <si>
    <t>Узбекистан</t>
  </si>
  <si>
    <t>Meglumine</t>
  </si>
  <si>
    <t xml:space="preserve">СП ООО "Reka Med Farm" </t>
  </si>
  <si>
    <t>Китай</t>
  </si>
  <si>
    <t xml:space="preserve">MSME Synapse Pharmatech </t>
  </si>
  <si>
    <t>Адинтан Нео р-р. для инфузий 0,8мг/мл 200 мл №1</t>
  </si>
  <si>
    <t xml:space="preserve">ООО "Temur Med Farm"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</si>
</sst>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* #,##0_-;\-* #,##0_-;_-* &quot;-&quot;_-;_-@_-"/>
    <numFmt numFmtId="165" formatCode="_-* #,##0.00_-;\-* #,##0.00_-;_-* &quot;-&quot;??_-;_-@_-"/>
    <numFmt numFmtId="166" formatCode="_-* #,##0_р_._-;\-* #,##0_р_._-;_-* &quot;-&quot;_р_._-;_-@_-"/>
    <numFmt numFmtId="167" formatCode="_-* #,##0.00_р_._-;\-* #,##0.00_р_._-;_-* &quot;-&quot;??_р_._-;_-@_-"/>
    <numFmt numFmtId="168" formatCode="_-* #,##0_р_._-;\-* #,##0_р_._-;_-* &quot;-&quot;??_р_._-;_-@_-"/>
  </numFmts>
  <fonts count="23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20"/>
      <color indexed="8"/>
      <name val="Times New Roman"/>
      <family val="1"/>
      <charset val="204"/>
    </font>
    <font>
      <b/>
      <sz val="20"/>
      <color indexed="8"/>
      <name val="Times New Roman"/>
      <family val="1"/>
      <charset val="204"/>
    </font>
    <font>
      <u/>
      <sz val="11"/>
      <color theme="11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  <font>
      <sz val="8"/>
      <name val="Arial"/>
      <family val="2"/>
      <charset val="204"/>
    </font>
    <font>
      <sz val="8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0"/>
      <name val="Arial Cyr"/>
      <family val="2"/>
      <charset val="204"/>
    </font>
    <font>
      <sz val="10"/>
      <name val="Arial"/>
      <family val="2"/>
      <charset val="204"/>
    </font>
    <font>
      <b/>
      <sz val="20"/>
      <color indexed="8"/>
      <name val="Arial"/>
      <family val="2"/>
    </font>
    <font>
      <b/>
      <sz val="40"/>
      <color rgb="FF0B0BB5"/>
      <name val="Arial"/>
      <family val="2"/>
    </font>
    <font>
      <b/>
      <sz val="20"/>
      <color indexed="8"/>
      <name val="Times New Roman"/>
      <family val="1"/>
    </font>
    <font>
      <b/>
      <sz val="10"/>
      <color indexed="8"/>
      <name val="Arial"/>
      <family val="2"/>
    </font>
    <font>
      <b/>
      <sz val="15"/>
      <color theme="0"/>
      <name val="Arial"/>
      <family val="2"/>
    </font>
    <font>
      <b/>
      <sz val="18"/>
      <color theme="0"/>
      <name val="Arial"/>
      <family val="2"/>
    </font>
    <font>
      <b/>
      <sz val="15"/>
      <name val="Times New Roman"/>
      <family val="1"/>
      <charset val="204"/>
    </font>
    <font>
      <b/>
      <sz val="15"/>
      <color rgb="FF000000"/>
      <name val="Times New Roman"/>
      <family val="1"/>
      <charset val="204"/>
    </font>
    <font>
      <b/>
      <sz val="36"/>
      <color theme="3"/>
      <name val="Times New Roman"/>
      <family val="1"/>
      <charset val="204"/>
    </font>
    <font>
      <b/>
      <sz val="48"/>
      <color theme="5" tint="-0.249977111117893"/>
      <name val="Times New Roman"/>
      <family val="1"/>
    </font>
    <font>
      <b/>
      <sz val="20"/>
      <name val="Times New Roman"/>
      <family val="1"/>
    </font>
    <font>
      <b/>
      <sz val="20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36">
    <xf numFmtId="0" fontId="0" fillId="0" borderId="0"/>
    <xf numFmtId="167" fontId="1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>
      <alignment horizontal="left"/>
    </xf>
    <xf numFmtId="0" fontId="8" fillId="0" borderId="0"/>
    <xf numFmtId="165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9" fillId="0" borderId="0"/>
    <xf numFmtId="0" fontId="10" fillId="0" borderId="0"/>
    <xf numFmtId="166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5" fontId="8" fillId="0" borderId="0" applyFont="0" applyFill="0" applyBorder="0" applyAlignment="0" applyProtection="0"/>
  </cellStyleXfs>
  <cellXfs count="36">
    <xf numFmtId="0" fontId="0" fillId="0" borderId="0" xfId="0"/>
    <xf numFmtId="0" fontId="2" fillId="0" borderId="0" xfId="0" applyFont="1" applyAlignment="1">
      <alignment horizontal="center" vertical="center"/>
    </xf>
    <xf numFmtId="168" fontId="3" fillId="0" borderId="0" xfId="1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68" fontId="3" fillId="0" borderId="0" xfId="1" applyNumberFormat="1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168" fontId="12" fillId="0" borderId="0" xfId="1" applyNumberFormat="1" applyFont="1" applyFill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167" fontId="2" fillId="0" borderId="0" xfId="1" applyFont="1" applyAlignment="1">
      <alignment horizontal="center" vertical="center"/>
    </xf>
    <xf numFmtId="167" fontId="2" fillId="0" borderId="0" xfId="1" applyFont="1" applyAlignment="1">
      <alignment horizontal="center" vertical="center" wrapText="1"/>
    </xf>
    <xf numFmtId="0" fontId="15" fillId="0" borderId="0" xfId="1" applyNumberFormat="1" applyFont="1" applyFill="1" applyBorder="1" applyAlignment="1">
      <alignment horizontal="center" vertical="center"/>
    </xf>
    <xf numFmtId="0" fontId="17" fillId="0" borderId="0" xfId="0" applyFont="1" applyAlignment="1">
      <alignment horizontal="center" vertical="center" wrapText="1"/>
    </xf>
    <xf numFmtId="0" fontId="20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0" fontId="21" fillId="3" borderId="1" xfId="0" applyFont="1" applyFill="1" applyBorder="1" applyAlignment="1">
      <alignment horizontal="center" vertical="center" wrapText="1"/>
    </xf>
    <xf numFmtId="168" fontId="21" fillId="3" borderId="1" xfId="1" applyNumberFormat="1" applyFont="1" applyFill="1" applyBorder="1" applyAlignment="1">
      <alignment horizontal="center" vertical="center" wrapText="1"/>
    </xf>
    <xf numFmtId="14" fontId="22" fillId="3" borderId="1" xfId="0" applyNumberFormat="1" applyFont="1" applyFill="1" applyBorder="1" applyAlignment="1">
      <alignment horizontal="center" vertical="center" wrapText="1"/>
    </xf>
    <xf numFmtId="14" fontId="18" fillId="0" borderId="0" xfId="0" applyNumberFormat="1" applyFont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 wrapText="1"/>
    </xf>
    <xf numFmtId="3" fontId="17" fillId="0" borderId="1" xfId="0" applyNumberFormat="1" applyFont="1" applyBorder="1" applyAlignment="1">
      <alignment horizontal="left" vertical="center" wrapText="1"/>
    </xf>
    <xf numFmtId="0" fontId="17" fillId="0" borderId="1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3" fontId="17" fillId="0" borderId="1" xfId="8" applyNumberFormat="1" applyFont="1" applyFill="1" applyBorder="1" applyAlignment="1">
      <alignment horizontal="center" vertical="center" wrapText="1"/>
    </xf>
    <xf numFmtId="14" fontId="18" fillId="0" borderId="1" xfId="0" applyNumberFormat="1" applyFont="1" applyBorder="1" applyAlignment="1">
      <alignment horizontal="center" vertical="center" wrapText="1"/>
    </xf>
    <xf numFmtId="3" fontId="17" fillId="0" borderId="1" xfId="0" applyNumberFormat="1" applyFont="1" applyBorder="1" applyAlignment="1">
      <alignment horizontal="left" vertical="top" wrapText="1"/>
    </xf>
    <xf numFmtId="0" fontId="19" fillId="0" borderId="0" xfId="0" applyFont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20" fillId="0" borderId="0" xfId="0" applyFont="1" applyAlignment="1">
      <alignment horizontal="center" vertical="center"/>
    </xf>
  </cellXfs>
  <cellStyles count="36">
    <cellStyle name="40% - Акцент4 49" xfId="12" xr:uid="{00000000-0005-0000-0000-000000000000}"/>
    <cellStyle name="Comma" xfId="1" builtinId="3"/>
    <cellStyle name="Excel Built-in Normal" xfId="11" xr:uid="{00000000-0005-0000-0000-000001000000}"/>
    <cellStyle name="Followed Hyperlink" xfId="2" builtinId="9" hidden="1"/>
    <cellStyle name="Followed Hyperlink" xfId="4" builtinId="9" hidden="1"/>
    <cellStyle name="Hyperlink" xfId="3" builtinId="8" hidden="1"/>
    <cellStyle name="Hyperlink" xfId="5" builtinId="8" hidden="1"/>
    <cellStyle name="Normal" xfId="0" builtinId="0"/>
    <cellStyle name="Обычный 2" xfId="6" xr:uid="{00000000-0005-0000-0000-000005000000}"/>
    <cellStyle name="Обычный 3" xfId="7" xr:uid="{00000000-0005-0000-0000-000006000000}"/>
    <cellStyle name="Процентный 2" xfId="10" xr:uid="{00000000-0005-0000-0000-000009000000}"/>
    <cellStyle name="Финансовый [0] 2" xfId="13" xr:uid="{00000000-0005-0000-0000-00000B000000}"/>
    <cellStyle name="Финансовый [0] 3" xfId="9" xr:uid="{00000000-0005-0000-0000-00000C000000}"/>
    <cellStyle name="Финансовый [0] 3 2" xfId="16" xr:uid="{00000000-0005-0000-0000-00000D000000}"/>
    <cellStyle name="Финансовый [0] 3 2 2" xfId="22" xr:uid="{00000000-0005-0000-0000-00000E000000}"/>
    <cellStyle name="Финансовый [0] 3 2 3" xfId="28" xr:uid="{00000000-0005-0000-0000-00000F000000}"/>
    <cellStyle name="Финансовый [0] 3 2 4" xfId="34" xr:uid="{00000000-0005-0000-0000-000010000000}"/>
    <cellStyle name="Финансовый [0] 3 3" xfId="19" xr:uid="{00000000-0005-0000-0000-000011000000}"/>
    <cellStyle name="Финансовый [0] 3 4" xfId="25" xr:uid="{00000000-0005-0000-0000-000012000000}"/>
    <cellStyle name="Финансовый [0] 3 5" xfId="31" xr:uid="{00000000-0005-0000-0000-000013000000}"/>
    <cellStyle name="Финансовый 2" xfId="8" xr:uid="{00000000-0005-0000-0000-000014000000}"/>
    <cellStyle name="Финансовый 2 2" xfId="15" xr:uid="{00000000-0005-0000-0000-000015000000}"/>
    <cellStyle name="Финансовый 2 2 2" xfId="21" xr:uid="{00000000-0005-0000-0000-000016000000}"/>
    <cellStyle name="Финансовый 2 2 3" xfId="27" xr:uid="{00000000-0005-0000-0000-000017000000}"/>
    <cellStyle name="Финансовый 2 2 4" xfId="33" xr:uid="{00000000-0005-0000-0000-000018000000}"/>
    <cellStyle name="Финансовый 2 3" xfId="18" xr:uid="{00000000-0005-0000-0000-000019000000}"/>
    <cellStyle name="Финансовый 2 4" xfId="24" xr:uid="{00000000-0005-0000-0000-00001A000000}"/>
    <cellStyle name="Финансовый 2 5" xfId="30" xr:uid="{00000000-0005-0000-0000-00001B000000}"/>
    <cellStyle name="Финансовый 3" xfId="14" xr:uid="{00000000-0005-0000-0000-00001C000000}"/>
    <cellStyle name="Финансовый 3 2" xfId="17" xr:uid="{00000000-0005-0000-0000-00001D000000}"/>
    <cellStyle name="Финансовый 3 2 2" xfId="23" xr:uid="{00000000-0005-0000-0000-00001E000000}"/>
    <cellStyle name="Финансовый 3 2 3" xfId="29" xr:uid="{00000000-0005-0000-0000-00001F000000}"/>
    <cellStyle name="Финансовый 3 2 4" xfId="35" xr:uid="{00000000-0005-0000-0000-000020000000}"/>
    <cellStyle name="Финансовый 3 3" xfId="20" xr:uid="{00000000-0005-0000-0000-000021000000}"/>
    <cellStyle name="Финансовый 3 4" xfId="26" xr:uid="{00000000-0005-0000-0000-000022000000}"/>
    <cellStyle name="Финансовый 3 5" xfId="32" xr:uid="{00000000-0005-0000-0000-00002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50161</xdr:colOff>
      <xdr:row>1</xdr:row>
      <xdr:rowOff>325277</xdr:rowOff>
    </xdr:from>
    <xdr:to>
      <xdr:col>3</xdr:col>
      <xdr:colOff>28433</xdr:colOff>
      <xdr:row>7</xdr:row>
      <xdr:rowOff>230263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70BB034A-FEAA-5AF5-896C-A1BD1A9A79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47251" y="652255"/>
          <a:ext cx="4499092" cy="2591889"/>
        </a:xfrm>
        <a:prstGeom prst="rect">
          <a:avLst/>
        </a:prstGeom>
      </xdr:spPr>
    </xdr:pic>
    <xdr:clientData/>
  </xdr:twoCellAnchor>
  <xdr:twoCellAnchor editAs="oneCell">
    <xdr:from>
      <xdr:col>9</xdr:col>
      <xdr:colOff>2246195</xdr:colOff>
      <xdr:row>1</xdr:row>
      <xdr:rowOff>284328</xdr:rowOff>
    </xdr:from>
    <xdr:to>
      <xdr:col>10</xdr:col>
      <xdr:colOff>1271965</xdr:colOff>
      <xdr:row>7</xdr:row>
      <xdr:rowOff>189314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75AE8E26-6613-415A-81B4-6B15187EBF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647426" y="611306"/>
          <a:ext cx="4499092" cy="259188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 fitToPage="1"/>
  </sheetPr>
  <dimension ref="A3:M28"/>
  <sheetViews>
    <sheetView tabSelected="1" topLeftCell="A7" zoomScale="91" zoomScaleNormal="70" zoomScalePageLayoutView="40" workbookViewId="0">
      <selection activeCell="C10" sqref="C10:K10"/>
    </sheetView>
  </sheetViews>
  <sheetFormatPr baseColWidth="10" defaultColWidth="8.83203125" defaultRowHeight="25"/>
  <cols>
    <col min="1" max="1" width="12" style="1" customWidth="1"/>
    <col min="2" max="2" width="5.5" style="7" customWidth="1"/>
    <col min="3" max="3" width="62.5" style="10" customWidth="1"/>
    <col min="4" max="4" width="11.5" style="3" customWidth="1"/>
    <col min="5" max="5" width="81" style="12" customWidth="1"/>
    <col min="6" max="7" width="18.5" style="4" customWidth="1"/>
    <col min="8" max="8" width="13.6640625" style="4" customWidth="1"/>
    <col min="9" max="9" width="14.5" style="4" customWidth="1"/>
    <col min="10" max="10" width="82" style="3" customWidth="1"/>
    <col min="11" max="11" width="20.6640625" style="3" customWidth="1"/>
    <col min="12" max="12" width="8.83203125" style="1"/>
    <col min="13" max="13" width="33.6640625" style="14" customWidth="1"/>
    <col min="14" max="14" width="26" style="1" bestFit="1" customWidth="1"/>
    <col min="15" max="16384" width="8.83203125" style="1"/>
  </cols>
  <sheetData>
    <row r="3" spans="1:13">
      <c r="F3" s="2"/>
      <c r="G3" s="2"/>
      <c r="H3" s="2"/>
      <c r="I3" s="2"/>
    </row>
    <row r="4" spans="1:13" ht="36" customHeight="1">
      <c r="F4" s="2"/>
      <c r="G4" s="2"/>
      <c r="H4" s="2"/>
      <c r="I4" s="2"/>
    </row>
    <row r="5" spans="1:13">
      <c r="F5" s="2"/>
      <c r="G5" s="2"/>
      <c r="H5" s="2"/>
      <c r="I5" s="2"/>
    </row>
    <row r="6" spans="1:13" ht="49" customHeight="1">
      <c r="B6" s="18"/>
      <c r="C6" s="35" t="s">
        <v>6</v>
      </c>
      <c r="D6" s="35"/>
      <c r="E6" s="35"/>
      <c r="F6" s="35"/>
      <c r="G6" s="35"/>
      <c r="H6" s="35"/>
      <c r="I6" s="35"/>
      <c r="J6" s="35"/>
      <c r="K6" s="18"/>
    </row>
    <row r="7" spans="1:13" ht="49" customHeight="1">
      <c r="B7" s="19"/>
      <c r="C7" s="19"/>
      <c r="D7" s="33" t="s">
        <v>25</v>
      </c>
      <c r="E7" s="33"/>
      <c r="F7" s="33"/>
      <c r="G7" s="33"/>
      <c r="H7" s="33"/>
      <c r="I7" s="31"/>
      <c r="J7" s="19"/>
      <c r="K7" s="19"/>
    </row>
    <row r="8" spans="1:13" ht="24.75" customHeight="1">
      <c r="B8" s="9"/>
      <c r="C8" s="11"/>
      <c r="D8" s="5"/>
      <c r="E8" s="13"/>
      <c r="F8" s="6"/>
      <c r="G8" s="16">
        <v>15</v>
      </c>
      <c r="H8" s="16"/>
      <c r="I8" s="16"/>
      <c r="J8" s="32" t="s">
        <v>8</v>
      </c>
      <c r="K8" s="32"/>
    </row>
    <row r="9" spans="1:13" ht="83.25" customHeight="1">
      <c r="A9" s="20" t="s">
        <v>29</v>
      </c>
      <c r="B9" s="20" t="s">
        <v>4</v>
      </c>
      <c r="C9" s="20" t="s">
        <v>3</v>
      </c>
      <c r="D9" s="20" t="s">
        <v>13</v>
      </c>
      <c r="E9" s="20" t="s">
        <v>0</v>
      </c>
      <c r="F9" s="21" t="s">
        <v>1</v>
      </c>
      <c r="G9" s="21" t="s">
        <v>7</v>
      </c>
      <c r="H9" s="21" t="s">
        <v>9</v>
      </c>
      <c r="I9" s="22" t="s">
        <v>16</v>
      </c>
      <c r="J9" s="20" t="s">
        <v>2</v>
      </c>
      <c r="K9" s="22" t="s">
        <v>30</v>
      </c>
    </row>
    <row r="10" spans="1:13" s="8" customFormat="1" ht="48" customHeight="1">
      <c r="B10" s="24">
        <v>1</v>
      </c>
      <c r="C10" s="25" t="s">
        <v>37</v>
      </c>
      <c r="D10" s="26">
        <v>30</v>
      </c>
      <c r="E10" s="27" t="s">
        <v>19</v>
      </c>
      <c r="F10" s="28">
        <v>95400</v>
      </c>
      <c r="G10" s="28">
        <f t="shared" ref="G10" si="0">F10*(1+$G$8%)</f>
        <v>109709.99999999999</v>
      </c>
      <c r="H10" s="28">
        <f>+G10*1.12</f>
        <v>122875.2</v>
      </c>
      <c r="I10" s="29">
        <v>46388</v>
      </c>
      <c r="J10" s="26" t="s">
        <v>38</v>
      </c>
      <c r="K10" s="29" t="s">
        <v>32</v>
      </c>
      <c r="M10" s="15"/>
    </row>
    <row r="11" spans="1:13" ht="47" customHeight="1">
      <c r="B11" s="24">
        <v>2</v>
      </c>
      <c r="C11" s="25" t="s">
        <v>10</v>
      </c>
      <c r="D11" s="26">
        <v>28</v>
      </c>
      <c r="E11" s="27" t="s">
        <v>22</v>
      </c>
      <c r="F11" s="28">
        <v>37000</v>
      </c>
      <c r="G11" s="28">
        <f t="shared" ref="G10:G17" si="1">F11*(1+$G$8%)</f>
        <v>42550</v>
      </c>
      <c r="H11" s="28">
        <f t="shared" ref="H11:H18" si="2">+G11*1.12</f>
        <v>47656.000000000007</v>
      </c>
      <c r="I11" s="29">
        <v>46296</v>
      </c>
      <c r="J11" s="26" t="s">
        <v>34</v>
      </c>
      <c r="K11" s="29" t="s">
        <v>32</v>
      </c>
    </row>
    <row r="12" spans="1:13" ht="47" customHeight="1">
      <c r="B12" s="24">
        <v>3</v>
      </c>
      <c r="C12" s="25" t="s">
        <v>11</v>
      </c>
      <c r="D12" s="26">
        <v>40</v>
      </c>
      <c r="E12" s="27" t="s">
        <v>24</v>
      </c>
      <c r="F12" s="28">
        <v>55000</v>
      </c>
      <c r="G12" s="28">
        <f t="shared" si="1"/>
        <v>63249.999999999993</v>
      </c>
      <c r="H12" s="28">
        <f t="shared" si="2"/>
        <v>70840</v>
      </c>
      <c r="I12" s="29">
        <v>46357</v>
      </c>
      <c r="J12" s="26" t="s">
        <v>5</v>
      </c>
      <c r="K12" s="29" t="s">
        <v>32</v>
      </c>
    </row>
    <row r="13" spans="1:13" ht="47" customHeight="1">
      <c r="B13" s="24">
        <v>4</v>
      </c>
      <c r="C13" s="25" t="s">
        <v>14</v>
      </c>
      <c r="D13" s="26">
        <v>135</v>
      </c>
      <c r="E13" s="27" t="s">
        <v>20</v>
      </c>
      <c r="F13" s="28">
        <v>84000</v>
      </c>
      <c r="G13" s="28">
        <f t="shared" si="1"/>
        <v>96599.999999999985</v>
      </c>
      <c r="H13" s="28">
        <f t="shared" si="2"/>
        <v>108192</v>
      </c>
      <c r="I13" s="29">
        <v>46204</v>
      </c>
      <c r="J13" s="26" t="s">
        <v>15</v>
      </c>
      <c r="K13" s="29" t="s">
        <v>35</v>
      </c>
    </row>
    <row r="14" spans="1:13" ht="47" customHeight="1">
      <c r="B14" s="24">
        <v>5</v>
      </c>
      <c r="C14" s="25" t="s">
        <v>26</v>
      </c>
      <c r="D14" s="26">
        <v>40</v>
      </c>
      <c r="E14" s="27" t="s">
        <v>23</v>
      </c>
      <c r="F14" s="28">
        <v>33500</v>
      </c>
      <c r="G14" s="28">
        <f t="shared" si="1"/>
        <v>38525</v>
      </c>
      <c r="H14" s="28">
        <f t="shared" si="2"/>
        <v>43148.000000000007</v>
      </c>
      <c r="I14" s="29">
        <v>46296</v>
      </c>
      <c r="J14" s="26" t="s">
        <v>5</v>
      </c>
      <c r="K14" s="29" t="s">
        <v>32</v>
      </c>
    </row>
    <row r="15" spans="1:13" ht="47" customHeight="1">
      <c r="B15" s="24">
        <v>6</v>
      </c>
      <c r="C15" s="25" t="s">
        <v>12</v>
      </c>
      <c r="D15" s="26">
        <v>20</v>
      </c>
      <c r="E15" s="27" t="s">
        <v>23</v>
      </c>
      <c r="F15" s="28">
        <v>40000</v>
      </c>
      <c r="G15" s="28">
        <f t="shared" si="1"/>
        <v>46000</v>
      </c>
      <c r="H15" s="28">
        <f t="shared" si="2"/>
        <v>51520.000000000007</v>
      </c>
      <c r="I15" s="29">
        <v>46296</v>
      </c>
      <c r="J15" s="26" t="s">
        <v>5</v>
      </c>
      <c r="K15" s="29" t="s">
        <v>32</v>
      </c>
    </row>
    <row r="16" spans="1:13" ht="47" customHeight="1">
      <c r="B16" s="24">
        <v>7</v>
      </c>
      <c r="C16" s="30" t="s">
        <v>18</v>
      </c>
      <c r="D16" s="26">
        <v>200</v>
      </c>
      <c r="E16" s="27" t="s">
        <v>21</v>
      </c>
      <c r="F16" s="28">
        <v>43167</v>
      </c>
      <c r="G16" s="28">
        <f t="shared" si="1"/>
        <v>49642.049999999996</v>
      </c>
      <c r="H16" s="28">
        <f t="shared" si="2"/>
        <v>55599.095999999998</v>
      </c>
      <c r="I16" s="29">
        <v>46447</v>
      </c>
      <c r="J16" s="26" t="s">
        <v>36</v>
      </c>
      <c r="K16" s="29" t="s">
        <v>31</v>
      </c>
    </row>
    <row r="17" spans="2:11">
      <c r="B17" s="24">
        <v>8</v>
      </c>
      <c r="C17" s="25" t="s">
        <v>27</v>
      </c>
      <c r="D17" s="26">
        <v>40</v>
      </c>
      <c r="E17" s="27" t="s">
        <v>33</v>
      </c>
      <c r="F17" s="28">
        <v>45000</v>
      </c>
      <c r="G17" s="28">
        <f t="shared" si="1"/>
        <v>51749.999999999993</v>
      </c>
      <c r="H17" s="28">
        <f t="shared" si="2"/>
        <v>57960</v>
      </c>
      <c r="I17" s="29">
        <v>46631</v>
      </c>
      <c r="J17" s="26" t="s">
        <v>5</v>
      </c>
      <c r="K17" s="29" t="s">
        <v>32</v>
      </c>
    </row>
    <row r="18" spans="2:11">
      <c r="B18" s="24">
        <v>9</v>
      </c>
      <c r="C18" s="25" t="s">
        <v>28</v>
      </c>
      <c r="D18" s="26">
        <v>20</v>
      </c>
      <c r="E18" s="27" t="s">
        <v>33</v>
      </c>
      <c r="F18" s="28">
        <v>55000</v>
      </c>
      <c r="G18" s="28">
        <f>F18*(1+$G$8%)</f>
        <v>63249.999999999993</v>
      </c>
      <c r="H18" s="28">
        <f t="shared" si="2"/>
        <v>70840</v>
      </c>
      <c r="I18" s="29">
        <v>46539</v>
      </c>
      <c r="J18" s="26" t="s">
        <v>5</v>
      </c>
      <c r="K18" s="29" t="s">
        <v>32</v>
      </c>
    </row>
    <row r="19" spans="2:11">
      <c r="B19" s="1"/>
      <c r="C19" s="1"/>
      <c r="D19" s="1"/>
      <c r="E19" s="1"/>
      <c r="F19" s="1"/>
      <c r="G19" s="1"/>
      <c r="H19" s="1"/>
      <c r="I19" s="1"/>
      <c r="J19" s="1"/>
      <c r="K19" s="1"/>
    </row>
    <row r="21" spans="2:11" ht="130" customHeight="1">
      <c r="B21" s="34" t="s">
        <v>17</v>
      </c>
      <c r="C21" s="34"/>
      <c r="D21" s="34"/>
      <c r="E21" s="34"/>
      <c r="F21" s="34"/>
      <c r="G21" s="34"/>
      <c r="H21" s="34"/>
      <c r="I21" s="34"/>
      <c r="J21" s="34"/>
      <c r="K21" s="34"/>
    </row>
    <row r="22" spans="2:11">
      <c r="C22" s="1"/>
      <c r="D22" s="1"/>
      <c r="E22" s="1"/>
      <c r="F22" s="1"/>
      <c r="G22" s="1"/>
      <c r="H22" s="1"/>
      <c r="I22" s="1"/>
      <c r="J22" s="1"/>
      <c r="K22" s="1"/>
    </row>
    <row r="23" spans="2:11"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2:11">
      <c r="K24" s="17"/>
    </row>
    <row r="25" spans="2:11">
      <c r="K25" s="23"/>
    </row>
    <row r="26" spans="2:11">
      <c r="K26" s="23"/>
    </row>
    <row r="27" spans="2:11">
      <c r="K27" s="17"/>
    </row>
    <row r="28" spans="2:11" ht="25" customHeight="1">
      <c r="K28" s="1"/>
    </row>
  </sheetData>
  <autoFilter ref="B9:K18" xr:uid="{00000000-0009-0000-0000-000000000000}"/>
  <mergeCells count="4">
    <mergeCell ref="J8:K8"/>
    <mergeCell ref="D7:H7"/>
    <mergeCell ref="B21:K21"/>
    <mergeCell ref="C6:J6"/>
  </mergeCells>
  <phoneticPr fontId="7" type="noConversion"/>
  <pageMargins left="0" right="0" top="0" bottom="0" header="0" footer="0"/>
  <pageSetup paperSize="9" scale="51" fitToHeight="0" orientation="portrait" copies="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Прайс-лист</vt:lpstr>
    </vt:vector>
  </TitlesOfParts>
  <Company>SPecialiST RePack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Profi Pharm Service</cp:lastModifiedBy>
  <cp:lastPrinted>2023-07-31T11:10:06Z</cp:lastPrinted>
  <dcterms:created xsi:type="dcterms:W3CDTF">2015-05-05T06:26:53Z</dcterms:created>
  <dcterms:modified xsi:type="dcterms:W3CDTF">2026-04-01T04:54:16Z</dcterms:modified>
</cp:coreProperties>
</file>